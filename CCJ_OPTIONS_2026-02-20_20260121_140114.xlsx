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Puts" sheetId="2" state="visible" r:id="rId2"/>
    <sheet name="Expi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70C0"/>
    </font>
  </fonts>
  <fills count="5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F81BD"/>
        <bgColor rgb="004F81BD"/>
      </patternFill>
    </fill>
    <fill>
      <patternFill patternType="solid">
        <fgColor rgb="00FFFFC8"/>
        <bgColor rgb="00FFF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</t>
        </is>
      </c>
      <c r="F1" s="1" t="inlineStr">
        <is>
          <t>Price</t>
        </is>
      </c>
      <c r="H1" s="2" t="inlineStr">
        <is>
          <t>Stock@Exp</t>
        </is>
      </c>
    </row>
    <row r="2">
      <c r="B2" s="3" t="inlineStr">
        <is>
          <t>CCJ</t>
        </is>
      </c>
      <c r="C2" s="3" t="inlineStr">
        <is>
          <t>2026-02-20</t>
        </is>
      </c>
      <c r="D2" s="3" t="n">
        <v>29</v>
      </c>
      <c r="F2" s="4" t="n">
        <v>119.375</v>
      </c>
      <c r="H2" s="5" t="n">
        <v>119.375</v>
      </c>
    </row>
    <row r="3">
      <c r="L3" s="6" t="inlineStr">
        <is>
          <t>Total P&amp;L:</t>
        </is>
      </c>
      <c r="M3" s="7">
        <f>SUM(M6:M26)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45</v>
      </c>
      <c r="B6" s="8" t="n">
        <v>72.05</v>
      </c>
      <c r="C6" s="8" t="n">
        <v>75.55</v>
      </c>
      <c r="D6" s="8" t="n">
        <v>43.04</v>
      </c>
      <c r="E6" s="8" t="n">
        <v>73.8</v>
      </c>
      <c r="F6" s="9" t="n">
        <v>0</v>
      </c>
      <c r="G6" s="9" t="n">
        <v>2</v>
      </c>
      <c r="H6" s="10" t="n">
        <v>2.165043649902343</v>
      </c>
      <c r="I6" s="11" t="n">
        <v>0.9719108948865639</v>
      </c>
      <c r="J6" s="12" t="n">
        <v>0</v>
      </c>
      <c r="K6" s="13" t="n">
        <v>73.8</v>
      </c>
      <c r="L6" s="8">
        <f>MAX($H$2-A6,0)</f>
        <v/>
      </c>
      <c r="M6" s="8">
        <f>(L6-K6)*J6*100</f>
        <v/>
      </c>
    </row>
    <row r="7">
      <c r="A7" s="8" t="n">
        <v>50</v>
      </c>
      <c r="B7" s="8" t="n">
        <v>67.15000000000001</v>
      </c>
      <c r="C7" s="8" t="n">
        <v>70.8</v>
      </c>
      <c r="D7" s="8" t="n">
        <v>66</v>
      </c>
      <c r="E7" s="8" t="n">
        <v>68.97499999999999</v>
      </c>
      <c r="F7" s="9" t="n">
        <v>15</v>
      </c>
      <c r="G7" s="9" t="n">
        <v>99</v>
      </c>
      <c r="H7" s="10" t="n">
        <v>2.042973642578125</v>
      </c>
      <c r="I7" s="11" t="n">
        <v>0.9644904741804983</v>
      </c>
      <c r="J7" s="12" t="n">
        <v>0</v>
      </c>
      <c r="K7" s="13" t="n">
        <v>68.97499999999999</v>
      </c>
      <c r="L7" s="8">
        <f>MAX($H$2-A7,0)</f>
        <v/>
      </c>
      <c r="M7" s="8">
        <f>(L7-K7)*J7*100</f>
        <v/>
      </c>
    </row>
    <row r="8">
      <c r="A8" s="8" t="n">
        <v>55</v>
      </c>
      <c r="B8" s="8" t="n">
        <v>62.15</v>
      </c>
      <c r="C8" s="8" t="n">
        <v>65.55</v>
      </c>
      <c r="D8" s="8" t="n">
        <v>61.5</v>
      </c>
      <c r="E8" s="8" t="n">
        <v>63.84999999999999</v>
      </c>
      <c r="F8" s="9" t="n">
        <v>2</v>
      </c>
      <c r="G8" s="9" t="n">
        <v>9</v>
      </c>
      <c r="H8" s="10" t="n">
        <v>1.764649614257813</v>
      </c>
      <c r="I8" s="11" t="n">
        <v>0.9651493409021384</v>
      </c>
      <c r="J8" s="12" t="n">
        <v>0</v>
      </c>
      <c r="K8" s="13" t="n">
        <v>63.84999999999999</v>
      </c>
      <c r="L8" s="8">
        <f>MAX($H$2-A8,0)</f>
        <v/>
      </c>
      <c r="M8" s="8">
        <f>(L8-K8)*J8*100</f>
        <v/>
      </c>
    </row>
    <row r="9">
      <c r="A9" s="8" t="n">
        <v>60</v>
      </c>
      <c r="B9" s="8" t="n">
        <v>57.55</v>
      </c>
      <c r="C9" s="8" t="n">
        <v>60.2</v>
      </c>
      <c r="D9" s="8" t="n">
        <v>49.01</v>
      </c>
      <c r="E9" s="8" t="n">
        <v>58.875</v>
      </c>
      <c r="F9" s="9" t="n">
        <v>291</v>
      </c>
      <c r="G9" s="9" t="n">
        <v>392</v>
      </c>
      <c r="H9" s="10" t="n">
        <v>1.47265888671875</v>
      </c>
      <c r="I9" s="11" t="n">
        <v>0.9694939904211302</v>
      </c>
      <c r="J9" s="12" t="n">
        <v>0</v>
      </c>
      <c r="K9" s="13" t="n">
        <v>58.875</v>
      </c>
      <c r="L9" s="8">
        <f>MAX($H$2-A9,0)</f>
        <v/>
      </c>
      <c r="M9" s="8">
        <f>(L9-K9)*J9*100</f>
        <v/>
      </c>
    </row>
    <row r="10">
      <c r="A10" s="8" t="n">
        <v>65</v>
      </c>
      <c r="B10" s="8" t="n">
        <v>52.15</v>
      </c>
      <c r="C10" s="8" t="n">
        <v>55.7</v>
      </c>
      <c r="D10" s="8" t="n">
        <v>28.6</v>
      </c>
      <c r="E10" s="8" t="n">
        <v>53.925</v>
      </c>
      <c r="F10" s="9" t="n">
        <v>2</v>
      </c>
      <c r="G10" s="9" t="n">
        <v>5</v>
      </c>
      <c r="H10" s="10" t="n">
        <v>1.475100280761719</v>
      </c>
      <c r="I10" s="11" t="n">
        <v>0.9533740457732036</v>
      </c>
      <c r="J10" s="12" t="n">
        <v>0</v>
      </c>
      <c r="K10" s="13" t="n">
        <v>53.925</v>
      </c>
      <c r="L10" s="8">
        <f>MAX($H$2-A10,0)</f>
        <v/>
      </c>
      <c r="M10" s="8">
        <f>(L10-K10)*J10*100</f>
        <v/>
      </c>
    </row>
    <row r="11">
      <c r="A11" s="8" t="n">
        <v>70</v>
      </c>
      <c r="B11" s="8" t="n">
        <v>47.25</v>
      </c>
      <c r="C11" s="8" t="n">
        <v>50.1</v>
      </c>
      <c r="D11" s="8" t="n">
        <v>50.25</v>
      </c>
      <c r="E11" s="8" t="n">
        <v>48.675</v>
      </c>
      <c r="F11" s="9" t="n">
        <v>2</v>
      </c>
      <c r="G11" s="9" t="n">
        <v>108</v>
      </c>
      <c r="H11" s="10" t="n">
        <v>1.15234798828125</v>
      </c>
      <c r="I11" s="11" t="n">
        <v>0.9653709988015859</v>
      </c>
      <c r="J11" s="12" t="n">
        <v>0</v>
      </c>
      <c r="K11" s="13" t="n">
        <v>48.675</v>
      </c>
      <c r="L11" s="8">
        <f>MAX($H$2-A11,0)</f>
        <v/>
      </c>
      <c r="M11" s="8">
        <f>(L11-K11)*J11*100</f>
        <v/>
      </c>
    </row>
    <row r="12">
      <c r="A12" s="8" t="n">
        <v>75</v>
      </c>
      <c r="B12" s="8" t="n">
        <v>42.7</v>
      </c>
      <c r="C12" s="8" t="n">
        <v>45.35</v>
      </c>
      <c r="D12" s="8" t="n">
        <v>40.2</v>
      </c>
      <c r="E12" s="8" t="n">
        <v>44.02500000000001</v>
      </c>
      <c r="F12" s="9" t="n">
        <v>1</v>
      </c>
      <c r="G12" s="9" t="n">
        <v>70</v>
      </c>
      <c r="H12" s="10" t="n">
        <v>1.096684204101563</v>
      </c>
      <c r="I12" s="11" t="n">
        <v>0.9525074707237328</v>
      </c>
      <c r="J12" s="12" t="n">
        <v>0</v>
      </c>
      <c r="K12" s="13" t="n">
        <v>44.02500000000001</v>
      </c>
      <c r="L12" s="8">
        <f>MAX($H$2-A12,0)</f>
        <v/>
      </c>
      <c r="M12" s="8">
        <f>(L12-K12)*J12*100</f>
        <v/>
      </c>
    </row>
    <row r="13">
      <c r="A13" s="8" t="n">
        <v>80</v>
      </c>
      <c r="B13" s="8" t="n">
        <v>37.4</v>
      </c>
      <c r="C13" s="8" t="n">
        <v>40.4</v>
      </c>
      <c r="D13" s="8" t="n">
        <v>35</v>
      </c>
      <c r="E13" s="8" t="n">
        <v>38.9</v>
      </c>
      <c r="F13" s="9" t="n">
        <v>6</v>
      </c>
      <c r="G13" s="9" t="n">
        <v>85</v>
      </c>
      <c r="H13" s="10" t="n">
        <v>0.9829103271484375</v>
      </c>
      <c r="I13" s="11" t="n">
        <v>0.9447628819636675</v>
      </c>
      <c r="J13" s="12" t="n">
        <v>0</v>
      </c>
      <c r="K13" s="13" t="n">
        <v>38.9</v>
      </c>
      <c r="L13" s="8">
        <f>MAX($H$2-A13,0)</f>
        <v/>
      </c>
      <c r="M13" s="8">
        <f>(L13-K13)*J13*100</f>
        <v/>
      </c>
    </row>
    <row r="14">
      <c r="A14" s="8" t="n">
        <v>85</v>
      </c>
      <c r="B14" s="8" t="n">
        <v>32.9</v>
      </c>
      <c r="C14" s="8" t="n">
        <v>35.2</v>
      </c>
      <c r="D14" s="8" t="n">
        <v>35.19</v>
      </c>
      <c r="E14" s="8" t="n">
        <v>34.05</v>
      </c>
      <c r="F14" s="9" t="n">
        <v>2</v>
      </c>
      <c r="G14" s="9" t="n">
        <v>72</v>
      </c>
      <c r="H14" s="10" t="n">
        <v>0.8168963623046874</v>
      </c>
      <c r="I14" s="11" t="n">
        <v>0.945817899722918</v>
      </c>
      <c r="J14" s="12" t="n">
        <v>0</v>
      </c>
      <c r="K14" s="13" t="n">
        <v>34.05</v>
      </c>
      <c r="L14" s="8">
        <f>MAX($H$2-A14,0)</f>
        <v/>
      </c>
      <c r="M14" s="8">
        <f>(L14-K14)*J14*100</f>
        <v/>
      </c>
    </row>
    <row r="15">
      <c r="A15" s="8" t="n">
        <v>90</v>
      </c>
      <c r="B15" s="8" t="n">
        <v>28.8</v>
      </c>
      <c r="C15" s="8" t="n">
        <v>29.95</v>
      </c>
      <c r="D15" s="8" t="n">
        <v>29.83</v>
      </c>
      <c r="E15" s="8" t="n">
        <v>29.375</v>
      </c>
      <c r="F15" s="9" t="n">
        <v>9</v>
      </c>
      <c r="G15" s="9" t="n">
        <v>730</v>
      </c>
      <c r="H15" s="10" t="n">
        <v>0.6469761865234375</v>
      </c>
      <c r="I15" s="11" t="n">
        <v>0.9515088194303484</v>
      </c>
      <c r="J15" s="12" t="n">
        <v>0</v>
      </c>
      <c r="K15" s="13" t="n">
        <v>29.375</v>
      </c>
      <c r="L15" s="8">
        <f>MAX($H$2-A15,0)</f>
        <v/>
      </c>
      <c r="M15" s="8">
        <f>(L15-K15)*J15*100</f>
        <v/>
      </c>
    </row>
    <row r="16">
      <c r="A16" s="8" t="n">
        <v>95</v>
      </c>
      <c r="B16" s="8" t="n">
        <v>24.2</v>
      </c>
      <c r="C16" s="8" t="n">
        <v>25.55</v>
      </c>
      <c r="D16" s="8" t="n">
        <v>24.05</v>
      </c>
      <c r="E16" s="8" t="n">
        <v>24.875</v>
      </c>
      <c r="F16" s="9" t="n">
        <v>9</v>
      </c>
      <c r="G16" s="9" t="n">
        <v>293</v>
      </c>
      <c r="H16" s="10" t="n">
        <v>0.5288133056640626</v>
      </c>
      <c r="I16" s="11" t="n">
        <v>0.9485293353176898</v>
      </c>
      <c r="J16" s="12" t="n">
        <v>0</v>
      </c>
      <c r="K16" s="13" t="n">
        <v>24.875</v>
      </c>
      <c r="L16" s="8">
        <f>MAX($H$2-A16,0)</f>
        <v/>
      </c>
      <c r="M16" s="8">
        <f>(L16-K16)*J16*100</f>
        <v/>
      </c>
    </row>
    <row r="17">
      <c r="A17" s="8" t="n">
        <v>100</v>
      </c>
      <c r="B17" s="8" t="n">
        <v>18.85</v>
      </c>
      <c r="C17" s="8" t="n">
        <v>20.8</v>
      </c>
      <c r="D17" s="8" t="n">
        <v>21.36</v>
      </c>
      <c r="E17" s="8" t="n">
        <v>19.825</v>
      </c>
      <c r="F17" s="9" t="n">
        <v>14</v>
      </c>
      <c r="G17" s="9" t="n">
        <v>819</v>
      </c>
      <c r="H17" s="10" t="n">
        <v>0.5832561206054687</v>
      </c>
      <c r="I17" s="11" t="n">
        <v>0.8812329040843989</v>
      </c>
      <c r="J17" s="12" t="n">
        <v>0</v>
      </c>
      <c r="K17" s="13" t="n">
        <v>19.825</v>
      </c>
      <c r="L17" s="8">
        <f>MAX($H$2-A17,0)</f>
        <v/>
      </c>
      <c r="M17" s="8">
        <f>(L17-K17)*J17*100</f>
        <v/>
      </c>
    </row>
    <row r="18">
      <c r="A18" s="8" t="n">
        <v>105</v>
      </c>
      <c r="B18" s="8" t="n">
        <v>15.15</v>
      </c>
      <c r="C18" s="8" t="n">
        <v>17</v>
      </c>
      <c r="D18" s="8" t="n">
        <v>15.8</v>
      </c>
      <c r="E18" s="8" t="n">
        <v>16.075</v>
      </c>
      <c r="F18" s="9" t="n">
        <v>16</v>
      </c>
      <c r="G18" s="9" t="n">
        <v>593</v>
      </c>
      <c r="H18" s="10" t="n">
        <v>0.5004932763671875</v>
      </c>
      <c r="I18" s="11" t="n">
        <v>0.842645901405413</v>
      </c>
      <c r="J18" s="12" t="n">
        <v>0</v>
      </c>
      <c r="K18" s="13" t="n">
        <v>16.075</v>
      </c>
      <c r="L18" s="8">
        <f>MAX($H$2-A18,0)</f>
        <v/>
      </c>
      <c r="M18" s="8">
        <f>(L18-K18)*J18*100</f>
        <v/>
      </c>
    </row>
    <row r="19">
      <c r="A19" s="8" t="n">
        <v>110</v>
      </c>
      <c r="B19" s="8" t="n">
        <v>12.4</v>
      </c>
      <c r="C19" s="8" t="n">
        <v>13</v>
      </c>
      <c r="D19" s="8" t="n">
        <v>13</v>
      </c>
      <c r="E19" s="8" t="n">
        <v>12.7</v>
      </c>
      <c r="F19" s="9" t="n">
        <v>29</v>
      </c>
      <c r="G19" s="9" t="n">
        <v>907</v>
      </c>
      <c r="H19" s="10" t="n">
        <v>0.5288133056640626</v>
      </c>
      <c r="I19" s="11" t="n">
        <v>0.7412566482582883</v>
      </c>
      <c r="J19" s="12" t="n">
        <v>0</v>
      </c>
      <c r="K19" s="13" t="n">
        <v>12.7</v>
      </c>
      <c r="L19" s="8">
        <f>MAX($H$2-A19,0)</f>
        <v/>
      </c>
      <c r="M19" s="8">
        <f>(L19-K19)*J19*100</f>
        <v/>
      </c>
    </row>
    <row r="20">
      <c r="A20" s="8" t="n">
        <v>115</v>
      </c>
      <c r="B20" s="8" t="n">
        <v>8.699999999999999</v>
      </c>
      <c r="C20" s="8" t="n">
        <v>9.9</v>
      </c>
      <c r="D20" s="8" t="n">
        <v>9.33</v>
      </c>
      <c r="E20" s="8" t="n">
        <v>9.300000000000001</v>
      </c>
      <c r="F20" s="9" t="n">
        <v>38</v>
      </c>
      <c r="G20" s="9" t="n">
        <v>2427</v>
      </c>
      <c r="H20" s="10" t="n">
        <v>0.5063525927734375</v>
      </c>
      <c r="I20" s="11" t="n">
        <v>0.6398343280172762</v>
      </c>
      <c r="J20" s="12" t="n">
        <v>0</v>
      </c>
      <c r="K20" s="13" t="n">
        <v>9.300000000000001</v>
      </c>
      <c r="L20" s="8">
        <f>MAX($H$2-A20,0)</f>
        <v/>
      </c>
      <c r="M20" s="8">
        <f>(L20-K20)*J20*100</f>
        <v/>
      </c>
    </row>
    <row r="21">
      <c r="A21" s="8" t="n">
        <v>120</v>
      </c>
      <c r="B21" s="8" t="n">
        <v>6.05</v>
      </c>
      <c r="C21" s="8" t="n">
        <v>7.3</v>
      </c>
      <c r="D21" s="8" t="n">
        <v>6.85</v>
      </c>
      <c r="E21" s="8" t="n">
        <v>6.675</v>
      </c>
      <c r="F21" s="9" t="n">
        <v>151</v>
      </c>
      <c r="G21" s="9" t="n">
        <v>3146</v>
      </c>
      <c r="H21" s="10" t="n">
        <v>0.5022022436523439</v>
      </c>
      <c r="I21" s="11" t="n">
        <v>0.5235822494015389</v>
      </c>
      <c r="J21" s="12" t="n">
        <v>0</v>
      </c>
      <c r="K21" s="13" t="n">
        <v>6.675</v>
      </c>
      <c r="L21" s="8">
        <f>MAX($H$2-A21,0)</f>
        <v/>
      </c>
      <c r="M21" s="8">
        <f>(L21-K21)*J21*100</f>
        <v/>
      </c>
    </row>
    <row r="22">
      <c r="A22" s="8" t="n">
        <v>125</v>
      </c>
      <c r="B22" s="8" t="n">
        <v>4.55</v>
      </c>
      <c r="C22" s="8" t="n">
        <v>5.5</v>
      </c>
      <c r="D22" s="8" t="n">
        <v>5</v>
      </c>
      <c r="E22" s="8" t="n">
        <v>5.025</v>
      </c>
      <c r="F22" s="9" t="n">
        <v>140</v>
      </c>
      <c r="G22" s="9" t="n">
        <v>1592</v>
      </c>
      <c r="H22" s="10" t="n">
        <v>0.5288133056640626</v>
      </c>
      <c r="I22" s="11" t="n">
        <v>0.4166837877604765</v>
      </c>
      <c r="J22" s="12" t="n">
        <v>0</v>
      </c>
      <c r="K22" s="13" t="n">
        <v>5.025</v>
      </c>
      <c r="L22" s="8">
        <f>MAX($H$2-A22,0)</f>
        <v/>
      </c>
      <c r="M22" s="8">
        <f>(L22-K22)*J22*100</f>
        <v/>
      </c>
    </row>
    <row r="23">
      <c r="A23" s="8" t="n">
        <v>130</v>
      </c>
      <c r="B23" s="8" t="n">
        <v>3.6</v>
      </c>
      <c r="C23" s="8" t="n">
        <v>3.75</v>
      </c>
      <c r="D23" s="8" t="n">
        <v>3.6</v>
      </c>
      <c r="E23" s="8" t="n">
        <v>3.675</v>
      </c>
      <c r="F23" s="9" t="n">
        <v>162</v>
      </c>
      <c r="G23" s="9" t="n">
        <v>3160</v>
      </c>
      <c r="H23" s="10" t="n">
        <v>0.543949873046875</v>
      </c>
      <c r="I23" s="11" t="n">
        <v>0.3241500602443753</v>
      </c>
      <c r="J23" s="12" t="n">
        <v>0</v>
      </c>
      <c r="K23" s="13" t="n">
        <v>3.675</v>
      </c>
      <c r="L23" s="8">
        <f>MAX($H$2-A23,0)</f>
        <v/>
      </c>
      <c r="M23" s="8">
        <f>(L23-K23)*J23*100</f>
        <v/>
      </c>
    </row>
    <row r="24">
      <c r="A24" s="8" t="n">
        <v>135</v>
      </c>
      <c r="B24" s="8" t="n">
        <v>2.18</v>
      </c>
      <c r="C24" s="8" t="n">
        <v>2.49</v>
      </c>
      <c r="D24" s="8" t="n">
        <v>2.49</v>
      </c>
      <c r="E24" s="8" t="n">
        <v>2.335</v>
      </c>
      <c r="F24" s="9" t="n">
        <v>299</v>
      </c>
      <c r="G24" s="9" t="n">
        <v>423</v>
      </c>
      <c r="H24" s="10" t="n">
        <v>0.5268602001953125</v>
      </c>
      <c r="I24" s="11" t="n">
        <v>0.2327114497044103</v>
      </c>
      <c r="J24" s="12" t="n">
        <v>0</v>
      </c>
      <c r="K24" s="13" t="n">
        <v>2.335</v>
      </c>
      <c r="L24" s="8">
        <f>MAX($H$2-A24,0)</f>
        <v/>
      </c>
      <c r="M24" s="8">
        <f>(L24-K24)*J24*100</f>
        <v/>
      </c>
    </row>
    <row r="25">
      <c r="A25" s="8" t="n">
        <v>140</v>
      </c>
      <c r="B25" s="8" t="n">
        <v>1.5</v>
      </c>
      <c r="C25" s="8" t="n">
        <v>1.97</v>
      </c>
      <c r="D25" s="8" t="n">
        <v>1.79</v>
      </c>
      <c r="E25" s="8" t="n">
        <v>1.735</v>
      </c>
      <c r="F25" s="9" t="n">
        <v>2</v>
      </c>
      <c r="G25" s="9" t="n">
        <v>1181</v>
      </c>
      <c r="H25" s="10" t="n">
        <v>0.5493209130859377</v>
      </c>
      <c r="I25" s="11" t="n">
        <v>0.17650323377132</v>
      </c>
      <c r="J25" s="12" t="n">
        <v>0</v>
      </c>
      <c r="K25" s="13" t="n">
        <v>1.735</v>
      </c>
      <c r="L25" s="8">
        <f>MAX($H$2-A25,0)</f>
        <v/>
      </c>
      <c r="M25" s="8">
        <f>(L25-K25)*J25*100</f>
        <v/>
      </c>
    </row>
    <row r="26">
      <c r="A26" s="8" t="n">
        <v>145</v>
      </c>
      <c r="B26" s="8" t="n">
        <v>0.95</v>
      </c>
      <c r="C26" s="8" t="n">
        <v>1.41</v>
      </c>
      <c r="D26" s="8" t="n">
        <v>1.2</v>
      </c>
      <c r="E26" s="8" t="n">
        <v>1.18</v>
      </c>
      <c r="F26" s="9" t="n">
        <v>15</v>
      </c>
      <c r="G26" s="9" t="n">
        <v>109</v>
      </c>
      <c r="H26" s="10" t="n">
        <v>0.5542036767578126</v>
      </c>
      <c r="I26" s="11" t="n">
        <v>0.1263417733054381</v>
      </c>
      <c r="J26" s="12" t="n">
        <v>0</v>
      </c>
      <c r="K26" s="13" t="n">
        <v>1.18</v>
      </c>
      <c r="L26" s="8">
        <f>MAX($H$2-A26,0)</f>
        <v/>
      </c>
      <c r="M26" s="8">
        <f>(L26-K26)*J26*100</f>
        <v/>
      </c>
    </row>
  </sheetData>
  <conditionalFormatting sqref="M6:M2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Days</t>
        </is>
      </c>
      <c r="F1" s="1" t="inlineStr">
        <is>
          <t>Price</t>
        </is>
      </c>
      <c r="H1" s="2" t="inlineStr">
        <is>
          <t>Stock@Exp</t>
        </is>
      </c>
    </row>
    <row r="2">
      <c r="B2" s="3" t="inlineStr">
        <is>
          <t>CCJ</t>
        </is>
      </c>
      <c r="C2" s="3" t="inlineStr">
        <is>
          <t>2026-02-20</t>
        </is>
      </c>
      <c r="D2" s="3" t="n">
        <v>29</v>
      </c>
      <c r="F2" s="4" t="n">
        <v>119.375</v>
      </c>
      <c r="H2" s="5" t="n">
        <v>119.375</v>
      </c>
    </row>
    <row r="3">
      <c r="L3" s="6" t="inlineStr">
        <is>
          <t>Total P&amp;L:</t>
        </is>
      </c>
      <c r="M3" s="7">
        <f>SUM(M6:M22)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50</v>
      </c>
      <c r="B6" s="8" t="n">
        <v>0</v>
      </c>
      <c r="C6" s="8" t="n">
        <v>0.25</v>
      </c>
      <c r="D6" s="8" t="n">
        <v>0.04</v>
      </c>
      <c r="E6" s="8" t="n">
        <v>0.04</v>
      </c>
      <c r="F6" s="9" t="n">
        <v>1</v>
      </c>
      <c r="G6" s="9" t="n">
        <v>6</v>
      </c>
      <c r="H6" s="10" t="n">
        <v>1.328128359375</v>
      </c>
      <c r="I6" s="11" t="n">
        <v>-0.005845436308427931</v>
      </c>
      <c r="J6" s="12" t="n">
        <v>0</v>
      </c>
      <c r="K6" s="13" t="n">
        <v>0.04</v>
      </c>
      <c r="L6" s="8">
        <f>MAX(A6-$H$2,0)</f>
        <v/>
      </c>
      <c r="M6" s="8">
        <f>(L6-K6)*J6*100</f>
        <v/>
      </c>
    </row>
    <row r="7">
      <c r="A7" s="8" t="n">
        <v>55</v>
      </c>
      <c r="B7" s="8" t="n">
        <v>0</v>
      </c>
      <c r="C7" s="8" t="n">
        <v>2.13</v>
      </c>
      <c r="D7" s="8" t="n">
        <v>0.19</v>
      </c>
      <c r="E7" s="8" t="n">
        <v>0.19</v>
      </c>
      <c r="F7" s="9" t="n">
        <v>1</v>
      </c>
      <c r="G7" s="9" t="n">
        <v>15</v>
      </c>
      <c r="H7" s="10" t="n">
        <v>1.7265638671875</v>
      </c>
      <c r="I7" s="11" t="n">
        <v>-0.03266420234175271</v>
      </c>
      <c r="J7" s="12" t="n">
        <v>0</v>
      </c>
      <c r="K7" s="13" t="n">
        <v>0.19</v>
      </c>
      <c r="L7" s="8">
        <f>MAX(A7-$H$2,0)</f>
        <v/>
      </c>
      <c r="M7" s="8">
        <f>(L7-K7)*J7*100</f>
        <v/>
      </c>
    </row>
    <row r="8">
      <c r="A8" s="8" t="n">
        <v>60</v>
      </c>
      <c r="B8" s="8" t="n">
        <v>0</v>
      </c>
      <c r="C8" s="8" t="n">
        <v>1.89</v>
      </c>
      <c r="D8" s="8" t="n">
        <v>0.05</v>
      </c>
      <c r="E8" s="8" t="n">
        <v>0.05</v>
      </c>
      <c r="F8" s="9" t="n">
        <v>16</v>
      </c>
      <c r="G8" s="9" t="n">
        <v>17</v>
      </c>
      <c r="H8" s="10" t="n">
        <v>1.516603979492187</v>
      </c>
      <c r="I8" s="11" t="n">
        <v>-0.03352550669090437</v>
      </c>
      <c r="J8" s="12" t="n">
        <v>0</v>
      </c>
      <c r="K8" s="13" t="n">
        <v>0.05</v>
      </c>
      <c r="L8" s="8">
        <f>MAX(A8-$H$2,0)</f>
        <v/>
      </c>
      <c r="M8" s="8">
        <f>(L8-K8)*J8*100</f>
        <v/>
      </c>
    </row>
    <row r="9">
      <c r="A9" s="8" t="n">
        <v>65</v>
      </c>
      <c r="B9" s="8" t="n">
        <v>0</v>
      </c>
      <c r="C9" s="8" t="n">
        <v>0.35</v>
      </c>
      <c r="D9" s="8" t="n">
        <v>0.17</v>
      </c>
      <c r="E9" s="8" t="n">
        <v>0.17</v>
      </c>
      <c r="F9" s="9" t="n">
        <v>2</v>
      </c>
      <c r="G9" s="9" t="n">
        <v>53</v>
      </c>
      <c r="H9" s="10" t="n">
        <v>1.00391123046875</v>
      </c>
      <c r="I9" s="11" t="n">
        <v>-0.01065891052913037</v>
      </c>
      <c r="J9" s="12" t="n">
        <v>0</v>
      </c>
      <c r="K9" s="13" t="n">
        <v>0.17</v>
      </c>
      <c r="L9" s="8">
        <f>MAX(A9-$H$2,0)</f>
        <v/>
      </c>
      <c r="M9" s="8">
        <f>(L9-K9)*J9*100</f>
        <v/>
      </c>
    </row>
    <row r="10">
      <c r="A10" s="8" t="n">
        <v>70</v>
      </c>
      <c r="B10" s="8" t="n">
        <v>0</v>
      </c>
      <c r="C10" s="8" t="n">
        <v>0.15</v>
      </c>
      <c r="D10" s="8" t="n">
        <v>0.07000000000000001</v>
      </c>
      <c r="E10" s="8" t="n">
        <v>0.07000000000000001</v>
      </c>
      <c r="F10" s="9" t="n">
        <v>1</v>
      </c>
      <c r="G10" s="9" t="n">
        <v>310</v>
      </c>
      <c r="H10" s="10" t="n">
        <v>0.7929708203125</v>
      </c>
      <c r="I10" s="11" t="n">
        <v>-0.005937624033256483</v>
      </c>
      <c r="J10" s="12" t="n">
        <v>0</v>
      </c>
      <c r="K10" s="13" t="n">
        <v>0.07000000000000001</v>
      </c>
      <c r="L10" s="8">
        <f>MAX(A10-$H$2,0)</f>
        <v/>
      </c>
      <c r="M10" s="8">
        <f>(L10-K10)*J10*100</f>
        <v/>
      </c>
    </row>
    <row r="11">
      <c r="A11" s="8" t="n">
        <v>75</v>
      </c>
      <c r="B11" s="8" t="n">
        <v>0.07000000000000001</v>
      </c>
      <c r="C11" s="8" t="n">
        <v>0.17</v>
      </c>
      <c r="D11" s="8" t="n">
        <v>0.1</v>
      </c>
      <c r="E11" s="8" t="n">
        <v>0.12</v>
      </c>
      <c r="F11" s="9" t="n">
        <v>18</v>
      </c>
      <c r="G11" s="9" t="n">
        <v>9055</v>
      </c>
      <c r="H11" s="10" t="n">
        <v>0.7460962890625</v>
      </c>
      <c r="I11" s="11" t="n">
        <v>-0.009845084344171084</v>
      </c>
      <c r="J11" s="12" t="n">
        <v>0</v>
      </c>
      <c r="K11" s="13" t="n">
        <v>0.12</v>
      </c>
      <c r="L11" s="8">
        <f>MAX(A11-$H$2,0)</f>
        <v/>
      </c>
      <c r="M11" s="8">
        <f>(L11-K11)*J11*100</f>
        <v/>
      </c>
    </row>
    <row r="12">
      <c r="A12" s="8" t="n">
        <v>80</v>
      </c>
      <c r="B12" s="8" t="n">
        <v>0.04</v>
      </c>
      <c r="C12" s="8" t="n">
        <v>0.25</v>
      </c>
      <c r="D12" s="8" t="n">
        <v>0.14</v>
      </c>
      <c r="E12" s="8" t="n">
        <v>0.145</v>
      </c>
      <c r="F12" s="9" t="n">
        <v>13</v>
      </c>
      <c r="G12" s="9" t="n">
        <v>851</v>
      </c>
      <c r="H12" s="10" t="n">
        <v>0.6728548339843752</v>
      </c>
      <c r="I12" s="11" t="n">
        <v>-0.0130739159992741</v>
      </c>
      <c r="J12" s="12" t="n">
        <v>0</v>
      </c>
      <c r="K12" s="13" t="n">
        <v>0.145</v>
      </c>
      <c r="L12" s="8">
        <f>MAX(A12-$H$2,0)</f>
        <v/>
      </c>
      <c r="M12" s="8">
        <f>(L12-K12)*J12*100</f>
        <v/>
      </c>
    </row>
    <row r="13">
      <c r="A13" s="8" t="n">
        <v>85</v>
      </c>
      <c r="B13" s="8" t="n">
        <v>0.2</v>
      </c>
      <c r="C13" s="8" t="n">
        <v>0.34</v>
      </c>
      <c r="D13" s="8" t="n">
        <v>0.28</v>
      </c>
      <c r="E13" s="8" t="n">
        <v>0.27</v>
      </c>
      <c r="F13" s="9" t="n">
        <v>30</v>
      </c>
      <c r="G13" s="9" t="n">
        <v>925</v>
      </c>
      <c r="H13" s="10" t="n">
        <v>0.647464462890625</v>
      </c>
      <c r="I13" s="11" t="n">
        <v>-0.02431957753628189</v>
      </c>
      <c r="J13" s="12" t="n">
        <v>0</v>
      </c>
      <c r="K13" s="13" t="n">
        <v>0.27</v>
      </c>
      <c r="L13" s="8">
        <f>MAX(A13-$H$2,0)</f>
        <v/>
      </c>
      <c r="M13" s="8">
        <f>(L13-K13)*J13*100</f>
        <v/>
      </c>
    </row>
    <row r="14">
      <c r="A14" s="8" t="n">
        <v>90</v>
      </c>
      <c r="B14" s="8" t="n">
        <v>0.35</v>
      </c>
      <c r="C14" s="8" t="n">
        <v>0.48</v>
      </c>
      <c r="D14" s="8" t="n">
        <v>0.44</v>
      </c>
      <c r="E14" s="8" t="n">
        <v>0.415</v>
      </c>
      <c r="F14" s="9" t="n">
        <v>45</v>
      </c>
      <c r="G14" s="9" t="n">
        <v>1784</v>
      </c>
      <c r="H14" s="10" t="n">
        <v>0.6030313134765627</v>
      </c>
      <c r="I14" s="11" t="n">
        <v>-0.0385497304159057</v>
      </c>
      <c r="J14" s="12" t="n">
        <v>0</v>
      </c>
      <c r="K14" s="13" t="n">
        <v>0.415</v>
      </c>
      <c r="L14" s="8">
        <f>MAX(A14-$H$2,0)</f>
        <v/>
      </c>
      <c r="M14" s="8">
        <f>(L14-K14)*J14*100</f>
        <v/>
      </c>
    </row>
    <row r="15">
      <c r="A15" s="8" t="n">
        <v>95</v>
      </c>
      <c r="B15" s="8" t="n">
        <v>0.64</v>
      </c>
      <c r="C15" s="8" t="n">
        <v>1.01</v>
      </c>
      <c r="D15" s="8" t="n">
        <v>0.82</v>
      </c>
      <c r="E15" s="8" t="n">
        <v>0.825</v>
      </c>
      <c r="F15" s="9" t="n">
        <v>12</v>
      </c>
      <c r="G15" s="9" t="n">
        <v>635</v>
      </c>
      <c r="H15" s="10" t="n">
        <v>0.5981485498046876</v>
      </c>
      <c r="I15" s="11" t="n">
        <v>-0.07212613086989461</v>
      </c>
      <c r="J15" s="12" t="n">
        <v>0</v>
      </c>
      <c r="K15" s="13" t="n">
        <v>0.825</v>
      </c>
      <c r="L15" s="8">
        <f>MAX(A15-$H$2,0)</f>
        <v/>
      </c>
      <c r="M15" s="8">
        <f>(L15-K15)*J15*100</f>
        <v/>
      </c>
    </row>
    <row r="16">
      <c r="A16" s="8" t="n">
        <v>100</v>
      </c>
      <c r="B16" s="8" t="n">
        <v>1.18</v>
      </c>
      <c r="C16" s="8" t="n">
        <v>1.53</v>
      </c>
      <c r="D16" s="8" t="n">
        <v>1.36</v>
      </c>
      <c r="E16" s="8" t="n">
        <v>1.355</v>
      </c>
      <c r="F16" s="9" t="n">
        <v>40</v>
      </c>
      <c r="G16" s="9" t="n">
        <v>1784</v>
      </c>
      <c r="H16" s="10" t="n">
        <v>0.5737347314453125</v>
      </c>
      <c r="I16" s="11" t="n">
        <v>-0.1154451677996939</v>
      </c>
      <c r="J16" s="12" t="n">
        <v>0</v>
      </c>
      <c r="K16" s="13" t="n">
        <v>1.355</v>
      </c>
      <c r="L16" s="8">
        <f>MAX(A16-$H$2,0)</f>
        <v/>
      </c>
      <c r="M16" s="8">
        <f>(L16-K16)*J16*100</f>
        <v/>
      </c>
    </row>
    <row r="17">
      <c r="A17" s="8" t="n">
        <v>105</v>
      </c>
      <c r="B17" s="8" t="n">
        <v>1.98</v>
      </c>
      <c r="C17" s="8" t="n">
        <v>2.54</v>
      </c>
      <c r="D17" s="8" t="n">
        <v>2.34</v>
      </c>
      <c r="E17" s="8" t="n">
        <v>2.26</v>
      </c>
      <c r="F17" s="9" t="n">
        <v>48</v>
      </c>
      <c r="G17" s="9" t="n">
        <v>1575</v>
      </c>
      <c r="H17" s="10" t="n">
        <v>0.561527822265625</v>
      </c>
      <c r="I17" s="11" t="n">
        <v>-0.1807840789048709</v>
      </c>
      <c r="J17" s="12" t="n">
        <v>0</v>
      </c>
      <c r="K17" s="13" t="n">
        <v>2.26</v>
      </c>
      <c r="L17" s="8">
        <f>MAX(A17-$H$2,0)</f>
        <v/>
      </c>
      <c r="M17" s="8">
        <f>(L17-K17)*J17*100</f>
        <v/>
      </c>
    </row>
    <row r="18">
      <c r="A18" s="8" t="n">
        <v>110</v>
      </c>
      <c r="B18" s="8" t="n">
        <v>3.3</v>
      </c>
      <c r="C18" s="8" t="n">
        <v>3.7</v>
      </c>
      <c r="D18" s="8" t="n">
        <v>3.67</v>
      </c>
      <c r="E18" s="8" t="n">
        <v>3.5</v>
      </c>
      <c r="F18" s="9" t="n">
        <v>418</v>
      </c>
      <c r="G18" s="9" t="n">
        <v>447</v>
      </c>
      <c r="H18" s="10" t="n">
        <v>0.5440719421386719</v>
      </c>
      <c r="I18" s="11" t="n">
        <v>-0.2632644593172968</v>
      </c>
      <c r="J18" s="12" t="n">
        <v>0</v>
      </c>
      <c r="K18" s="13" t="n">
        <v>3.5</v>
      </c>
      <c r="L18" s="8">
        <f>MAX(A18-$H$2,0)</f>
        <v/>
      </c>
      <c r="M18" s="8">
        <f>(L18-K18)*J18*100</f>
        <v/>
      </c>
    </row>
    <row r="19">
      <c r="A19" s="8" t="n">
        <v>115</v>
      </c>
      <c r="B19" s="8" t="n">
        <v>5.2</v>
      </c>
      <c r="C19" s="8" t="n">
        <v>6.1</v>
      </c>
      <c r="D19" s="8" t="n">
        <v>5.61</v>
      </c>
      <c r="E19" s="8" t="n">
        <v>5.65</v>
      </c>
      <c r="F19" s="9" t="n">
        <v>24</v>
      </c>
      <c r="G19" s="9" t="n">
        <v>1464</v>
      </c>
      <c r="H19" s="10" t="n">
        <v>0.5614057531738281</v>
      </c>
      <c r="I19" s="11" t="n">
        <v>-0.367807844808732</v>
      </c>
      <c r="J19" s="12" t="n">
        <v>0</v>
      </c>
      <c r="K19" s="13" t="n">
        <v>5.65</v>
      </c>
      <c r="L19" s="8">
        <f>MAX(A19-$H$2,0)</f>
        <v/>
      </c>
      <c r="M19" s="8">
        <f>(L19-K19)*J19*100</f>
        <v/>
      </c>
    </row>
    <row r="20">
      <c r="A20" s="8" t="n">
        <v>120</v>
      </c>
      <c r="B20" s="8" t="n">
        <v>7.7</v>
      </c>
      <c r="C20" s="8" t="n">
        <v>8.699999999999999</v>
      </c>
      <c r="D20" s="8" t="n">
        <v>8.050000000000001</v>
      </c>
      <c r="E20" s="8" t="n">
        <v>8.199999999999999</v>
      </c>
      <c r="F20" s="9" t="n">
        <v>85</v>
      </c>
      <c r="G20" s="9" t="n">
        <v>33</v>
      </c>
      <c r="H20" s="10" t="n">
        <v>0.5672650695800781</v>
      </c>
      <c r="I20" s="11" t="n">
        <v>-0.4722360175424906</v>
      </c>
      <c r="J20" s="12" t="n">
        <v>0</v>
      </c>
      <c r="K20" s="13" t="n">
        <v>8.199999999999999</v>
      </c>
      <c r="L20" s="8">
        <f>MAX(A20-$H$2,0)</f>
        <v/>
      </c>
      <c r="M20" s="8">
        <f>(L20-K20)*J20*100</f>
        <v/>
      </c>
    </row>
    <row r="21">
      <c r="A21" s="8" t="n">
        <v>125</v>
      </c>
      <c r="B21" s="8" t="n">
        <v>10.55</v>
      </c>
      <c r="C21" s="8" t="n">
        <v>12</v>
      </c>
      <c r="D21" s="8" t="n">
        <v>10.94</v>
      </c>
      <c r="E21" s="8" t="n">
        <v>11.275</v>
      </c>
      <c r="F21" s="9" t="n">
        <v>8</v>
      </c>
      <c r="G21" s="9" t="n">
        <v>115</v>
      </c>
      <c r="H21" s="10" t="n">
        <v>0.5749554223632812</v>
      </c>
      <c r="I21" s="11" t="n">
        <v>-0.5718225519309974</v>
      </c>
      <c r="J21" s="12" t="n">
        <v>0</v>
      </c>
      <c r="K21" s="13" t="n">
        <v>11.275</v>
      </c>
      <c r="L21" s="8">
        <f>MAX(A21-$H$2,0)</f>
        <v/>
      </c>
      <c r="M21" s="8">
        <f>(L21-K21)*J21*100</f>
        <v/>
      </c>
    </row>
    <row r="22">
      <c r="A22" s="8" t="n">
        <v>130</v>
      </c>
      <c r="B22" s="8" t="n">
        <v>14.2</v>
      </c>
      <c r="C22" s="8" t="n">
        <v>15.45</v>
      </c>
      <c r="D22" s="8" t="n">
        <v>16.25</v>
      </c>
      <c r="E22" s="8" t="n">
        <v>14.825</v>
      </c>
      <c r="F22" s="9" t="n">
        <v>3</v>
      </c>
      <c r="G22" s="9" t="n">
        <v>6</v>
      </c>
      <c r="H22" s="10" t="n">
        <v>0.5856975024414062</v>
      </c>
      <c r="I22" s="11" t="n">
        <v>-0.6599273811104279</v>
      </c>
      <c r="J22" s="12" t="n">
        <v>0</v>
      </c>
      <c r="K22" s="13" t="n">
        <v>14.825</v>
      </c>
      <c r="L22" s="8">
        <f>MAX(A22-$H$2,0)</f>
        <v/>
      </c>
      <c r="M22" s="8">
        <f>(L22-K22)*J22*100</f>
        <v/>
      </c>
    </row>
  </sheetData>
  <conditionalFormatting sqref="M6:M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Available Expirations</t>
        </is>
      </c>
    </row>
    <row r="3">
      <c r="A3" t="inlineStr">
        <is>
          <t>2026-01-23</t>
        </is>
      </c>
    </row>
    <row r="4">
      <c r="A4" t="inlineStr">
        <is>
          <t>2026-01-30</t>
        </is>
      </c>
    </row>
    <row r="5">
      <c r="A5" t="inlineStr">
        <is>
          <t>2026-02-06</t>
        </is>
      </c>
    </row>
    <row r="6">
      <c r="A6" t="inlineStr">
        <is>
          <t>2026-02-13</t>
        </is>
      </c>
    </row>
    <row r="7">
      <c r="A7" s="14" t="inlineStr">
        <is>
          <t>2026-02-20</t>
        </is>
      </c>
    </row>
    <row r="8">
      <c r="A8" t="inlineStr">
        <is>
          <t>2026-02-27</t>
        </is>
      </c>
    </row>
    <row r="9">
      <c r="A9" t="inlineStr">
        <is>
          <t>2026-03-20</t>
        </is>
      </c>
    </row>
    <row r="10">
      <c r="A10" t="inlineStr">
        <is>
          <t>2026-06-18</t>
        </is>
      </c>
    </row>
    <row r="11">
      <c r="A11" t="inlineStr">
        <is>
          <t>2026-09-18</t>
        </is>
      </c>
    </row>
    <row r="12">
      <c r="A12" t="inlineStr">
        <is>
          <t>2026-12-18</t>
        </is>
      </c>
    </row>
    <row r="13">
      <c r="A13" t="inlineStr">
        <is>
          <t>2027-01-15</t>
        </is>
      </c>
    </row>
    <row r="14">
      <c r="A14" t="inlineStr">
        <is>
          <t>2028-01-21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2026-01-21T19:01:14Z</dcterms:created>
  <dcterms:modified xsi:type="dcterms:W3CDTF">2026-01-21T19:01:14Z</dcterms:modified>
</cp:coreProperties>
</file>