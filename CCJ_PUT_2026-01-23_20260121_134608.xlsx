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mdemajo/optionsai/"/>
    </mc:Choice>
  </mc:AlternateContent>
  <xr:revisionPtr revIDLastSave="0" documentId="13_ncr:1_{B60961B8-7DFA-0148-959D-9D1D5CAFB0E5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Op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" i="1" l="1"/>
  <c r="M56" i="1" s="1"/>
  <c r="L55" i="1"/>
  <c r="M55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M3" i="1" l="1"/>
</calcChain>
</file>

<file path=xl/sharedStrings.xml><?xml version="1.0" encoding="utf-8"?>
<sst xmlns="http://schemas.openxmlformats.org/spreadsheetml/2006/main" count="22" uniqueCount="22">
  <si>
    <t>Ticker</t>
  </si>
  <si>
    <t>Expiry</t>
  </si>
  <si>
    <t>Type</t>
  </si>
  <si>
    <t>Current Price</t>
  </si>
  <si>
    <t>Stock @ Expiry</t>
  </si>
  <si>
    <t>CCJ</t>
  </si>
  <si>
    <t>2026-01-23</t>
  </si>
  <si>
    <t>PUT</t>
  </si>
  <si>
    <t>Total P&amp;L:</t>
  </si>
  <si>
    <t>Strike</t>
  </si>
  <si>
    <t>Bid</t>
  </si>
  <si>
    <t>Ask</t>
  </si>
  <si>
    <t>Last</t>
  </si>
  <si>
    <t>Mid</t>
  </si>
  <si>
    <t>Volume</t>
  </si>
  <si>
    <t>Open Int</t>
  </si>
  <si>
    <t>Impl Vol</t>
  </si>
  <si>
    <t>Delta</t>
  </si>
  <si>
    <t>Position</t>
  </si>
  <si>
    <t>Entry Price</t>
  </si>
  <si>
    <t>Value@Exp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</si>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</sst>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4F81BD"/>
        <bgColor rgb="FF4F81BD"/>
      </patternFill>
    </fill>
    <fill>
      <patternFill patternType="solid">
        <fgColor rgb="FFFFFFC8"/>
        <bgColor rgb="FFFFFF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" fontId="0" fillId="4" borderId="0" xfId="0" applyNumberFormat="1" applyFill="1"/>
    <xf numFmtId="164" fontId="0" fillId="4" borderId="0" xfId="0" applyNumberFormat="1" applyFill="1"/>
  </cellXfs>
  <cellStyles count="1">
    <cellStyle name="Normal" xfId="0" builtinId="0"/>
  </cellStyles>
  <dxfs count="4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pane ySplit="5" topLeftCell="A6" activePane="bottomLeft" state="frozen"/>
      <selection pane="bottomLeft" activeCell="D11" sqref="D11"/>
    </sheetView>
  </sheetViews>
  <sheetFormatPr baseColWidth="10" defaultColWidth="8.83203125" defaultRowHeight="15" x14ac:dyDescent="0.2"/>
  <cols>
    <col min="1" max="1" width="7.6640625" bestFit="1" customWidth="1"/>
    <col min="2" max="2" width="5.83203125" bestFit="1" customWidth="1"/>
    <col min="3" max="3" width="10.1640625" bestFit="1" customWidth="1"/>
    <col min="4" max="4" width="6.6640625" bestFit="1" customWidth="1"/>
    <col min="5" max="5" width="5.6640625" bestFit="1" customWidth="1"/>
    <col min="6" max="6" width="11.5" bestFit="1" customWidth="1"/>
    <col min="7" max="7" width="7.83203125" bestFit="1" customWidth="1"/>
    <col min="8" max="8" width="12.33203125" bestFit="1" customWidth="1"/>
    <col min="9" max="9" width="5.33203125" bestFit="1" customWidth="1"/>
    <col min="10" max="10" width="7.5" bestFit="1" customWidth="1"/>
    <col min="11" max="11" width="9.5" bestFit="1" customWidth="1"/>
    <col min="12" max="12" width="10" customWidth="1"/>
    <col min="13" max="13" width="5.664062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F1" s="1" t="s">
        <v>3</v>
      </c>
      <c r="H1" s="2" t="s">
        <v>4</v>
      </c>
    </row>
    <row r="2" spans="1:13" x14ac:dyDescent="0.2">
      <c r="B2" s="3" t="s">
        <v>5</v>
      </c>
      <c r="C2" s="3" t="s">
        <v>6</v>
      </c>
      <c r="D2" s="3" t="s">
        <v>7</v>
      </c>
      <c r="F2" s="4">
        <v>118.86499999999999</v>
      </c>
      <c r="H2" s="5">
        <v>118.86499999999999</v>
      </c>
    </row>
    <row r="3" spans="1:13" x14ac:dyDescent="0.2">
      <c r="L3" s="6" t="s">
        <v>8</v>
      </c>
      <c r="M3" s="7">
        <f>SUM(M6:M56)</f>
        <v>0</v>
      </c>
    </row>
    <row r="5" spans="1:13" x14ac:dyDescent="0.2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2" t="s">
        <v>18</v>
      </c>
      <c r="K5" s="2" t="s">
        <v>19</v>
      </c>
      <c r="L5" s="2" t="s">
        <v>20</v>
      </c>
      <c r="M5" s="2" t="s">
        <v>21</v>
      </c>
    </row>
    <row r="6" spans="1:13" x14ac:dyDescent="0.2">
      <c r="A6" s="8">
        <v>60</v>
      </c>
      <c r="B6" s="8">
        <v>0</v>
      </c>
      <c r="C6" s="8">
        <v>2.12</v>
      </c>
      <c r="D6" s="8">
        <v>7.0000000000000007E-2</v>
      </c>
      <c r="E6" s="8">
        <v>7.0000000000000007E-2</v>
      </c>
      <c r="F6" s="9">
        <v>0</v>
      </c>
      <c r="G6" s="9">
        <v>10</v>
      </c>
      <c r="H6" s="10">
        <v>4.9785194018554666</v>
      </c>
      <c r="J6" s="11">
        <v>0</v>
      </c>
      <c r="K6" s="12">
        <v>7.0000000000000007E-2</v>
      </c>
      <c r="L6" s="8">
        <f t="shared" ref="L6:L37" si="0">MAX(A6-$H$2,0)</f>
        <v>0</v>
      </c>
      <c r="M6" s="8">
        <f t="shared" ref="M6:M37" si="1">(L6-K6)*J6*100</f>
        <v>0</v>
      </c>
    </row>
    <row r="7" spans="1:13" x14ac:dyDescent="0.2">
      <c r="A7" s="8">
        <v>65</v>
      </c>
      <c r="B7" s="8">
        <v>0</v>
      </c>
      <c r="C7" s="8">
        <v>0.06</v>
      </c>
      <c r="D7" s="8">
        <v>0.13</v>
      </c>
      <c r="E7" s="8">
        <v>0.13</v>
      </c>
      <c r="F7" s="9">
        <v>0</v>
      </c>
      <c r="G7" s="9">
        <v>10</v>
      </c>
      <c r="H7" s="10">
        <v>2.5625035937499998</v>
      </c>
      <c r="J7" s="11">
        <v>0</v>
      </c>
      <c r="K7" s="12">
        <v>0.13</v>
      </c>
      <c r="L7" s="8">
        <f t="shared" si="0"/>
        <v>0</v>
      </c>
      <c r="M7" s="8">
        <f t="shared" si="1"/>
        <v>0</v>
      </c>
    </row>
    <row r="8" spans="1:13" x14ac:dyDescent="0.2">
      <c r="A8" s="8">
        <v>70</v>
      </c>
      <c r="B8" s="8">
        <v>0</v>
      </c>
      <c r="C8" s="8">
        <v>2.12</v>
      </c>
      <c r="D8" s="8">
        <v>0.05</v>
      </c>
      <c r="E8" s="8">
        <v>0.05</v>
      </c>
      <c r="F8" s="9">
        <v>2</v>
      </c>
      <c r="G8" s="9">
        <v>7502</v>
      </c>
      <c r="H8" s="10">
        <v>4.0097706127929689</v>
      </c>
      <c r="J8" s="11">
        <v>0</v>
      </c>
      <c r="K8" s="12">
        <v>0.05</v>
      </c>
      <c r="L8" s="8">
        <f t="shared" si="0"/>
        <v>0</v>
      </c>
      <c r="M8" s="8">
        <f t="shared" si="1"/>
        <v>0</v>
      </c>
    </row>
    <row r="9" spans="1:13" x14ac:dyDescent="0.2">
      <c r="A9" s="8">
        <v>74</v>
      </c>
      <c r="B9" s="8">
        <v>0</v>
      </c>
      <c r="C9" s="8">
        <v>2.12</v>
      </c>
      <c r="D9" s="8">
        <v>0.05</v>
      </c>
      <c r="E9" s="8">
        <v>0.05</v>
      </c>
      <c r="F9" s="9">
        <v>5</v>
      </c>
      <c r="G9" s="9">
        <v>7</v>
      </c>
      <c r="H9" s="10">
        <v>3.6582039794921881</v>
      </c>
      <c r="J9" s="11">
        <v>0</v>
      </c>
      <c r="K9" s="12">
        <v>0.05</v>
      </c>
      <c r="L9" s="8">
        <f t="shared" si="0"/>
        <v>0</v>
      </c>
      <c r="M9" s="8">
        <f t="shared" si="1"/>
        <v>0</v>
      </c>
    </row>
    <row r="10" spans="1:13" x14ac:dyDescent="0.2">
      <c r="A10" s="8">
        <v>75</v>
      </c>
      <c r="B10" s="8">
        <v>0</v>
      </c>
      <c r="C10" s="8">
        <v>7.0000000000000007E-2</v>
      </c>
      <c r="D10" s="8">
        <v>1.07</v>
      </c>
      <c r="E10" s="8">
        <v>1.07</v>
      </c>
      <c r="F10" s="9">
        <v>1</v>
      </c>
      <c r="G10" s="9">
        <v>5067</v>
      </c>
      <c r="H10" s="10">
        <v>2.031254921875</v>
      </c>
      <c r="J10" s="11">
        <v>0</v>
      </c>
      <c r="K10" s="12">
        <v>1.07</v>
      </c>
      <c r="L10" s="8">
        <f t="shared" si="0"/>
        <v>0</v>
      </c>
      <c r="M10" s="8">
        <f t="shared" si="1"/>
        <v>0</v>
      </c>
    </row>
    <row r="11" spans="1:13" x14ac:dyDescent="0.2">
      <c r="A11" s="8">
        <v>76</v>
      </c>
      <c r="B11" s="8">
        <v>0</v>
      </c>
      <c r="C11" s="8">
        <v>2.12</v>
      </c>
      <c r="D11" s="8">
        <v>0.25</v>
      </c>
      <c r="E11" s="8">
        <v>0.25</v>
      </c>
      <c r="F11" s="9">
        <v>0</v>
      </c>
      <c r="G11" s="9">
        <v>1</v>
      </c>
      <c r="H11" s="10">
        <v>3.489259089355468</v>
      </c>
      <c r="J11" s="11">
        <v>0</v>
      </c>
      <c r="K11" s="12">
        <v>0.25</v>
      </c>
      <c r="L11" s="8">
        <f t="shared" si="0"/>
        <v>0</v>
      </c>
      <c r="M11" s="8">
        <f t="shared" si="1"/>
        <v>0</v>
      </c>
    </row>
    <row r="12" spans="1:13" x14ac:dyDescent="0.2">
      <c r="A12" s="8">
        <v>77</v>
      </c>
      <c r="B12" s="8">
        <v>0</v>
      </c>
      <c r="C12" s="8">
        <v>2.12</v>
      </c>
      <c r="D12" s="8">
        <v>1.1100000000000001</v>
      </c>
      <c r="E12" s="8">
        <v>1.1100000000000001</v>
      </c>
      <c r="F12" s="9">
        <v>1</v>
      </c>
      <c r="G12" s="9">
        <v>13</v>
      </c>
      <c r="H12" s="10">
        <v>3.4062514843749998</v>
      </c>
      <c r="J12" s="11">
        <v>0</v>
      </c>
      <c r="K12" s="12">
        <v>1.1100000000000001</v>
      </c>
      <c r="L12" s="8">
        <f t="shared" si="0"/>
        <v>0</v>
      </c>
      <c r="M12" s="8">
        <f t="shared" si="1"/>
        <v>0</v>
      </c>
    </row>
    <row r="13" spans="1:13" x14ac:dyDescent="0.2">
      <c r="A13" s="8">
        <v>78</v>
      </c>
      <c r="B13" s="8">
        <v>0</v>
      </c>
      <c r="C13" s="8">
        <v>0.08</v>
      </c>
      <c r="D13" s="8">
        <v>0.01</v>
      </c>
      <c r="E13" s="8">
        <v>0.01</v>
      </c>
      <c r="F13" s="9">
        <v>2</v>
      </c>
      <c r="G13" s="9">
        <v>41</v>
      </c>
      <c r="H13" s="10">
        <v>1.9062504687499999</v>
      </c>
      <c r="J13" s="11">
        <v>0</v>
      </c>
      <c r="K13" s="12">
        <v>0.01</v>
      </c>
      <c r="L13" s="8">
        <f t="shared" si="0"/>
        <v>0</v>
      </c>
      <c r="M13" s="8">
        <f t="shared" si="1"/>
        <v>0</v>
      </c>
    </row>
    <row r="14" spans="1:13" x14ac:dyDescent="0.2">
      <c r="A14" s="8">
        <v>79</v>
      </c>
      <c r="B14" s="8">
        <v>0</v>
      </c>
      <c r="C14" s="8">
        <v>0.55000000000000004</v>
      </c>
      <c r="D14" s="8">
        <v>0.24</v>
      </c>
      <c r="E14" s="8">
        <v>0.24</v>
      </c>
      <c r="F14" s="9">
        <v>10</v>
      </c>
      <c r="G14" s="9">
        <v>40</v>
      </c>
      <c r="H14" s="10">
        <v>2.4472695068359371</v>
      </c>
      <c r="J14" s="11">
        <v>0</v>
      </c>
      <c r="K14" s="12">
        <v>0.24</v>
      </c>
      <c r="L14" s="8">
        <f t="shared" si="0"/>
        <v>0</v>
      </c>
      <c r="M14" s="8">
        <f t="shared" si="1"/>
        <v>0</v>
      </c>
    </row>
    <row r="15" spans="1:13" x14ac:dyDescent="0.2">
      <c r="A15" s="8">
        <v>80</v>
      </c>
      <c r="B15" s="8">
        <v>0</v>
      </c>
      <c r="C15" s="8">
        <v>0.08</v>
      </c>
      <c r="D15" s="8">
        <v>0.02</v>
      </c>
      <c r="E15" s="8">
        <v>0.02</v>
      </c>
      <c r="F15" s="9">
        <v>1</v>
      </c>
      <c r="G15" s="9">
        <v>29</v>
      </c>
      <c r="H15" s="10">
        <v>1.7968760156250001</v>
      </c>
      <c r="J15" s="11">
        <v>0</v>
      </c>
      <c r="K15" s="12">
        <v>0.02</v>
      </c>
      <c r="L15" s="8">
        <f t="shared" si="0"/>
        <v>0</v>
      </c>
      <c r="M15" s="8">
        <f t="shared" si="1"/>
        <v>0</v>
      </c>
    </row>
    <row r="16" spans="1:13" x14ac:dyDescent="0.2">
      <c r="A16" s="8">
        <v>81</v>
      </c>
      <c r="B16" s="8">
        <v>0</v>
      </c>
      <c r="C16" s="8">
        <v>7.0000000000000007E-2</v>
      </c>
      <c r="D16" s="8">
        <v>0.28999999999999998</v>
      </c>
      <c r="E16" s="8">
        <v>0.28999999999999998</v>
      </c>
      <c r="F16" s="9">
        <v>2</v>
      </c>
      <c r="G16" s="9">
        <v>75</v>
      </c>
      <c r="H16" s="10">
        <v>1.71875140625</v>
      </c>
      <c r="J16" s="11">
        <v>0</v>
      </c>
      <c r="K16" s="12">
        <v>0.28999999999999998</v>
      </c>
      <c r="L16" s="8">
        <f t="shared" si="0"/>
        <v>0</v>
      </c>
      <c r="M16" s="8">
        <f t="shared" si="1"/>
        <v>0</v>
      </c>
    </row>
    <row r="17" spans="1:13" x14ac:dyDescent="0.2">
      <c r="A17" s="8">
        <v>82</v>
      </c>
      <c r="B17" s="8">
        <v>0</v>
      </c>
      <c r="C17" s="8">
        <v>0.09</v>
      </c>
      <c r="D17" s="8">
        <v>0.01</v>
      </c>
      <c r="E17" s="8">
        <v>0.01</v>
      </c>
      <c r="F17" s="9">
        <v>2</v>
      </c>
      <c r="G17" s="9">
        <v>30</v>
      </c>
      <c r="H17" s="10">
        <v>1.7265638671875001</v>
      </c>
      <c r="J17" s="11">
        <v>0</v>
      </c>
      <c r="K17" s="12">
        <v>0.01</v>
      </c>
      <c r="L17" s="8">
        <f t="shared" si="0"/>
        <v>0</v>
      </c>
      <c r="M17" s="8">
        <f t="shared" si="1"/>
        <v>0</v>
      </c>
    </row>
    <row r="18" spans="1:13" x14ac:dyDescent="0.2">
      <c r="A18" s="8">
        <v>83</v>
      </c>
      <c r="B18" s="8">
        <v>0</v>
      </c>
      <c r="C18" s="8">
        <v>0.11</v>
      </c>
      <c r="D18" s="8">
        <v>0.01</v>
      </c>
      <c r="E18" s="8">
        <v>0.01</v>
      </c>
      <c r="F18" s="9">
        <v>3</v>
      </c>
      <c r="G18" s="9">
        <v>27</v>
      </c>
      <c r="H18" s="10">
        <v>1.71875140625</v>
      </c>
      <c r="J18" s="11">
        <v>0</v>
      </c>
      <c r="K18" s="12">
        <v>0.01</v>
      </c>
      <c r="L18" s="8">
        <f t="shared" si="0"/>
        <v>0</v>
      </c>
      <c r="M18" s="8">
        <f t="shared" si="1"/>
        <v>0</v>
      </c>
    </row>
    <row r="19" spans="1:13" x14ac:dyDescent="0.2">
      <c r="A19" s="8">
        <v>84</v>
      </c>
      <c r="B19" s="8">
        <v>0</v>
      </c>
      <c r="C19" s="8">
        <v>0.08</v>
      </c>
      <c r="D19" s="8">
        <v>0.38</v>
      </c>
      <c r="E19" s="8">
        <v>0.38</v>
      </c>
      <c r="F19" s="9">
        <v>2</v>
      </c>
      <c r="G19" s="9">
        <v>1020</v>
      </c>
      <c r="H19" s="10">
        <v>1.6015644921875001</v>
      </c>
      <c r="J19" s="11">
        <v>0</v>
      </c>
      <c r="K19" s="12">
        <v>0.38</v>
      </c>
      <c r="L19" s="8">
        <f t="shared" si="0"/>
        <v>0</v>
      </c>
      <c r="M19" s="8">
        <f t="shared" si="1"/>
        <v>0</v>
      </c>
    </row>
    <row r="20" spans="1:13" x14ac:dyDescent="0.2">
      <c r="A20" s="8">
        <v>85</v>
      </c>
      <c r="B20" s="8">
        <v>0</v>
      </c>
      <c r="C20" s="8">
        <v>0.08</v>
      </c>
      <c r="D20" s="8">
        <v>0.38</v>
      </c>
      <c r="E20" s="8">
        <v>0.38</v>
      </c>
      <c r="F20" s="9">
        <v>4</v>
      </c>
      <c r="G20" s="9">
        <v>44</v>
      </c>
      <c r="H20" s="10">
        <v>1.5468772656250001</v>
      </c>
      <c r="J20" s="11">
        <v>0</v>
      </c>
      <c r="K20" s="12">
        <v>0.38</v>
      </c>
      <c r="L20" s="8">
        <f t="shared" si="0"/>
        <v>0</v>
      </c>
      <c r="M20" s="8">
        <f t="shared" si="1"/>
        <v>0</v>
      </c>
    </row>
    <row r="21" spans="1:13" x14ac:dyDescent="0.2">
      <c r="A21" s="8">
        <v>86</v>
      </c>
      <c r="B21" s="8">
        <v>0</v>
      </c>
      <c r="C21" s="8">
        <v>0.08</v>
      </c>
      <c r="D21" s="8">
        <v>0.12</v>
      </c>
      <c r="E21" s="8">
        <v>0.12</v>
      </c>
      <c r="F21" s="9">
        <v>26</v>
      </c>
      <c r="G21" s="9">
        <v>424</v>
      </c>
      <c r="H21" s="10">
        <v>1.5000024999999999</v>
      </c>
      <c r="J21" s="11">
        <v>0</v>
      </c>
      <c r="K21" s="12">
        <v>0.12</v>
      </c>
      <c r="L21" s="8">
        <f t="shared" si="0"/>
        <v>0</v>
      </c>
      <c r="M21" s="8">
        <f t="shared" si="1"/>
        <v>0</v>
      </c>
    </row>
    <row r="22" spans="1:13" x14ac:dyDescent="0.2">
      <c r="A22" s="8">
        <v>87</v>
      </c>
      <c r="B22" s="8">
        <v>0</v>
      </c>
      <c r="C22" s="8">
        <v>0.75</v>
      </c>
      <c r="D22" s="8">
        <v>0.05</v>
      </c>
      <c r="E22" s="8">
        <v>0.05</v>
      </c>
      <c r="F22" s="9">
        <v>1</v>
      </c>
      <c r="G22" s="9">
        <v>25</v>
      </c>
      <c r="H22" s="10">
        <v>2.0644579638671869</v>
      </c>
      <c r="J22" s="11">
        <v>0</v>
      </c>
      <c r="K22" s="12">
        <v>0.05</v>
      </c>
      <c r="L22" s="8">
        <f t="shared" si="0"/>
        <v>0</v>
      </c>
      <c r="M22" s="8">
        <f t="shared" si="1"/>
        <v>0</v>
      </c>
    </row>
    <row r="23" spans="1:13" x14ac:dyDescent="0.2">
      <c r="A23" s="8">
        <v>88</v>
      </c>
      <c r="B23" s="8">
        <v>0</v>
      </c>
      <c r="C23" s="8">
        <v>0.75</v>
      </c>
      <c r="D23" s="8">
        <v>0.01</v>
      </c>
      <c r="E23" s="8">
        <v>0.01</v>
      </c>
      <c r="F23" s="9">
        <v>2</v>
      </c>
      <c r="G23" s="9">
        <v>8</v>
      </c>
      <c r="H23" s="10">
        <v>2.0000049999999998</v>
      </c>
      <c r="J23" s="11">
        <v>0</v>
      </c>
      <c r="K23" s="12">
        <v>0.01</v>
      </c>
      <c r="L23" s="8">
        <f t="shared" si="0"/>
        <v>0</v>
      </c>
      <c r="M23" s="8">
        <f t="shared" si="1"/>
        <v>0</v>
      </c>
    </row>
    <row r="24" spans="1:13" x14ac:dyDescent="0.2">
      <c r="A24" s="8">
        <v>89</v>
      </c>
      <c r="B24" s="8">
        <v>0</v>
      </c>
      <c r="C24" s="8">
        <v>0.1</v>
      </c>
      <c r="D24" s="8">
        <v>0.12</v>
      </c>
      <c r="E24" s="8">
        <v>0.12</v>
      </c>
      <c r="F24" s="9">
        <v>4</v>
      </c>
      <c r="G24" s="9">
        <v>12</v>
      </c>
      <c r="H24" s="10">
        <v>1.3984405078125</v>
      </c>
      <c r="J24" s="11">
        <v>0</v>
      </c>
      <c r="K24" s="12">
        <v>0.12</v>
      </c>
      <c r="L24" s="8">
        <f t="shared" si="0"/>
        <v>0</v>
      </c>
      <c r="M24" s="8">
        <f t="shared" si="1"/>
        <v>0</v>
      </c>
    </row>
    <row r="25" spans="1:13" x14ac:dyDescent="0.2">
      <c r="A25" s="8">
        <v>90</v>
      </c>
      <c r="B25" s="8">
        <v>0</v>
      </c>
      <c r="C25" s="8">
        <v>0.08</v>
      </c>
      <c r="D25" s="8">
        <v>0.09</v>
      </c>
      <c r="E25" s="8">
        <v>0.09</v>
      </c>
      <c r="F25" s="9">
        <v>36</v>
      </c>
      <c r="G25" s="9">
        <v>118</v>
      </c>
      <c r="H25" s="10">
        <v>1.3125034375</v>
      </c>
      <c r="J25" s="11">
        <v>0</v>
      </c>
      <c r="K25" s="12">
        <v>0.09</v>
      </c>
      <c r="L25" s="8">
        <f t="shared" si="0"/>
        <v>0</v>
      </c>
      <c r="M25" s="8">
        <f t="shared" si="1"/>
        <v>0</v>
      </c>
    </row>
    <row r="26" spans="1:13" x14ac:dyDescent="0.2">
      <c r="A26" s="8">
        <v>91</v>
      </c>
      <c r="B26" s="8">
        <v>0</v>
      </c>
      <c r="C26" s="8">
        <v>0.75</v>
      </c>
      <c r="D26" s="8">
        <v>0.6</v>
      </c>
      <c r="E26" s="8">
        <v>0.6</v>
      </c>
      <c r="F26" s="9">
        <v>1</v>
      </c>
      <c r="G26" s="9">
        <v>147</v>
      </c>
      <c r="H26" s="10">
        <v>1.8144540527343751</v>
      </c>
      <c r="J26" s="11">
        <v>0</v>
      </c>
      <c r="K26" s="12">
        <v>0.6</v>
      </c>
      <c r="L26" s="8">
        <f t="shared" si="0"/>
        <v>0</v>
      </c>
      <c r="M26" s="8">
        <f t="shared" si="1"/>
        <v>0</v>
      </c>
    </row>
    <row r="27" spans="1:13" x14ac:dyDescent="0.2">
      <c r="A27" s="8">
        <v>92</v>
      </c>
      <c r="B27" s="8">
        <v>0</v>
      </c>
      <c r="C27" s="8">
        <v>0.1</v>
      </c>
      <c r="D27" s="8">
        <v>0.24</v>
      </c>
      <c r="E27" s="8">
        <v>0.24</v>
      </c>
      <c r="F27" s="9">
        <v>7</v>
      </c>
      <c r="G27" s="9">
        <v>112</v>
      </c>
      <c r="H27" s="10">
        <v>1.2578162109375</v>
      </c>
      <c r="J27" s="11">
        <v>0</v>
      </c>
      <c r="K27" s="12">
        <v>0.24</v>
      </c>
      <c r="L27" s="8">
        <f t="shared" si="0"/>
        <v>0</v>
      </c>
      <c r="M27" s="8">
        <f t="shared" si="1"/>
        <v>0</v>
      </c>
    </row>
    <row r="28" spans="1:13" x14ac:dyDescent="0.2">
      <c r="A28" s="8">
        <v>93</v>
      </c>
      <c r="B28" s="8">
        <v>0</v>
      </c>
      <c r="C28" s="8">
        <v>0.08</v>
      </c>
      <c r="D28" s="8">
        <v>0.5</v>
      </c>
      <c r="E28" s="8">
        <v>0.5</v>
      </c>
      <c r="F28" s="9">
        <v>1</v>
      </c>
      <c r="G28" s="9">
        <v>45</v>
      </c>
      <c r="H28" s="10">
        <v>1.171879140625</v>
      </c>
      <c r="J28" s="11">
        <v>0</v>
      </c>
      <c r="K28" s="12">
        <v>0.5</v>
      </c>
      <c r="L28" s="8">
        <f t="shared" si="0"/>
        <v>0</v>
      </c>
      <c r="M28" s="8">
        <f t="shared" si="1"/>
        <v>0</v>
      </c>
    </row>
    <row r="29" spans="1:13" x14ac:dyDescent="0.2">
      <c r="A29" s="8">
        <v>94</v>
      </c>
      <c r="B29" s="8">
        <v>0.11</v>
      </c>
      <c r="C29" s="8">
        <v>0.09</v>
      </c>
      <c r="D29" s="8">
        <v>0.45</v>
      </c>
      <c r="E29" s="8">
        <v>0.1</v>
      </c>
      <c r="F29" s="9">
        <v>1</v>
      </c>
      <c r="G29" s="9">
        <v>15</v>
      </c>
      <c r="H29" s="10">
        <v>1.2851598242187501</v>
      </c>
      <c r="J29" s="11">
        <v>0</v>
      </c>
      <c r="K29" s="12">
        <v>0.1</v>
      </c>
      <c r="L29" s="8">
        <f t="shared" si="0"/>
        <v>0</v>
      </c>
      <c r="M29" s="8">
        <f t="shared" si="1"/>
        <v>0</v>
      </c>
    </row>
    <row r="30" spans="1:13" x14ac:dyDescent="0.2">
      <c r="A30" s="8">
        <v>95</v>
      </c>
      <c r="B30" s="8">
        <v>0</v>
      </c>
      <c r="C30" s="8">
        <v>0.5</v>
      </c>
      <c r="D30" s="8">
        <v>0.05</v>
      </c>
      <c r="E30" s="8">
        <v>0.05</v>
      </c>
      <c r="F30" s="9">
        <v>7</v>
      </c>
      <c r="G30" s="9">
        <v>162</v>
      </c>
      <c r="H30" s="10">
        <v>1.4472683886718749</v>
      </c>
      <c r="J30" s="11">
        <v>0</v>
      </c>
      <c r="K30" s="12">
        <v>0.05</v>
      </c>
      <c r="L30" s="8">
        <f t="shared" si="0"/>
        <v>0</v>
      </c>
      <c r="M30" s="8">
        <f t="shared" si="1"/>
        <v>0</v>
      </c>
    </row>
    <row r="31" spans="1:13" x14ac:dyDescent="0.2">
      <c r="A31" s="8">
        <v>96</v>
      </c>
      <c r="B31" s="8">
        <v>0</v>
      </c>
      <c r="C31" s="8">
        <v>0.09</v>
      </c>
      <c r="D31" s="8">
        <v>0.02</v>
      </c>
      <c r="E31" s="8">
        <v>0.02</v>
      </c>
      <c r="F31" s="9">
        <v>17</v>
      </c>
      <c r="G31" s="9">
        <v>60</v>
      </c>
      <c r="H31" s="10">
        <v>1.0546922265625001</v>
      </c>
      <c r="J31" s="11">
        <v>0</v>
      </c>
      <c r="K31" s="12">
        <v>0.02</v>
      </c>
      <c r="L31" s="8">
        <f t="shared" si="0"/>
        <v>0</v>
      </c>
      <c r="M31" s="8">
        <f t="shared" si="1"/>
        <v>0</v>
      </c>
    </row>
    <row r="32" spans="1:13" x14ac:dyDescent="0.2">
      <c r="A32" s="8">
        <v>97</v>
      </c>
      <c r="B32" s="8">
        <v>0</v>
      </c>
      <c r="C32" s="8">
        <v>0.1</v>
      </c>
      <c r="D32" s="8">
        <v>0.32</v>
      </c>
      <c r="E32" s="8">
        <v>0.32</v>
      </c>
      <c r="F32" s="9">
        <v>16</v>
      </c>
      <c r="G32" s="9">
        <v>61</v>
      </c>
      <c r="H32" s="10">
        <v>1.0234423828125001</v>
      </c>
      <c r="J32" s="11">
        <v>0</v>
      </c>
      <c r="K32" s="12">
        <v>0.32</v>
      </c>
      <c r="L32" s="8">
        <f t="shared" si="0"/>
        <v>0</v>
      </c>
      <c r="M32" s="8">
        <f t="shared" si="1"/>
        <v>0</v>
      </c>
    </row>
    <row r="33" spans="1:13" x14ac:dyDescent="0.2">
      <c r="A33" s="8">
        <v>98</v>
      </c>
      <c r="B33" s="8">
        <v>0</v>
      </c>
      <c r="C33" s="8">
        <v>7.0000000000000007E-2</v>
      </c>
      <c r="D33" s="8">
        <v>0.05</v>
      </c>
      <c r="E33" s="8">
        <v>0.05</v>
      </c>
      <c r="F33" s="9">
        <v>2</v>
      </c>
      <c r="G33" s="9">
        <v>134</v>
      </c>
      <c r="H33" s="10">
        <v>0.929688203125</v>
      </c>
      <c r="J33" s="11">
        <v>0</v>
      </c>
      <c r="K33" s="12">
        <v>0.05</v>
      </c>
      <c r="L33" s="8">
        <f t="shared" si="0"/>
        <v>0</v>
      </c>
      <c r="M33" s="8">
        <f t="shared" si="1"/>
        <v>0</v>
      </c>
    </row>
    <row r="34" spans="1:13" x14ac:dyDescent="0.2">
      <c r="A34" s="8">
        <v>99</v>
      </c>
      <c r="B34" s="8">
        <v>0</v>
      </c>
      <c r="C34" s="8">
        <v>0.1</v>
      </c>
      <c r="D34" s="8">
        <v>0.55000000000000004</v>
      </c>
      <c r="E34" s="8">
        <v>0.55000000000000004</v>
      </c>
      <c r="F34" s="9">
        <v>3</v>
      </c>
      <c r="G34" s="9">
        <v>47</v>
      </c>
      <c r="H34" s="10">
        <v>0.93359441406249999</v>
      </c>
      <c r="J34" s="11">
        <v>0</v>
      </c>
      <c r="K34" s="12">
        <v>0.55000000000000004</v>
      </c>
      <c r="L34" s="8">
        <f t="shared" si="0"/>
        <v>0</v>
      </c>
      <c r="M34" s="8">
        <f t="shared" si="1"/>
        <v>0</v>
      </c>
    </row>
    <row r="35" spans="1:13" x14ac:dyDescent="0.2">
      <c r="A35" s="8">
        <v>100</v>
      </c>
      <c r="B35" s="8">
        <v>0</v>
      </c>
      <c r="C35" s="8">
        <v>0.1</v>
      </c>
      <c r="D35" s="8">
        <v>0.03</v>
      </c>
      <c r="E35" s="8">
        <v>0.03</v>
      </c>
      <c r="F35" s="9">
        <v>5</v>
      </c>
      <c r="G35" s="9">
        <v>53</v>
      </c>
      <c r="H35" s="10">
        <v>0.8906260937499999</v>
      </c>
      <c r="J35" s="11">
        <v>0</v>
      </c>
      <c r="K35" s="12">
        <v>0.03</v>
      </c>
      <c r="L35" s="8">
        <f t="shared" si="0"/>
        <v>0</v>
      </c>
      <c r="M35" s="8">
        <f t="shared" si="1"/>
        <v>0</v>
      </c>
    </row>
    <row r="36" spans="1:13" x14ac:dyDescent="0.2">
      <c r="A36" s="8">
        <v>101</v>
      </c>
      <c r="B36" s="8">
        <v>0</v>
      </c>
      <c r="C36" s="8">
        <v>0.09</v>
      </c>
      <c r="D36" s="8">
        <v>0.4</v>
      </c>
      <c r="E36" s="8">
        <v>0.4</v>
      </c>
      <c r="F36" s="9">
        <v>17</v>
      </c>
      <c r="G36" s="9">
        <v>20</v>
      </c>
      <c r="H36" s="10">
        <v>0.83203292968749987</v>
      </c>
      <c r="J36" s="11">
        <v>0</v>
      </c>
      <c r="K36" s="12">
        <v>0.4</v>
      </c>
      <c r="L36" s="8">
        <f t="shared" si="0"/>
        <v>0</v>
      </c>
      <c r="M36" s="8">
        <f t="shared" si="1"/>
        <v>0</v>
      </c>
    </row>
    <row r="37" spans="1:13" x14ac:dyDescent="0.2">
      <c r="A37" s="8">
        <v>102</v>
      </c>
      <c r="B37" s="8">
        <v>0</v>
      </c>
      <c r="C37" s="8">
        <v>0.03</v>
      </c>
      <c r="D37" s="8">
        <v>0.05</v>
      </c>
      <c r="E37" s="8">
        <v>0.05</v>
      </c>
      <c r="F37" s="9">
        <v>6</v>
      </c>
      <c r="G37" s="9">
        <v>125</v>
      </c>
      <c r="H37" s="10">
        <v>0.6875031250000001</v>
      </c>
      <c r="J37" s="11">
        <v>0</v>
      </c>
      <c r="K37" s="12">
        <v>0.05</v>
      </c>
      <c r="L37" s="8">
        <f t="shared" si="0"/>
        <v>0</v>
      </c>
      <c r="M37" s="8">
        <f t="shared" si="1"/>
        <v>0</v>
      </c>
    </row>
    <row r="38" spans="1:13" x14ac:dyDescent="0.2">
      <c r="A38" s="8">
        <v>103</v>
      </c>
      <c r="B38" s="8">
        <v>0</v>
      </c>
      <c r="C38" s="8">
        <v>0.04</v>
      </c>
      <c r="D38" s="8">
        <v>0.03</v>
      </c>
      <c r="E38" s="8">
        <v>0.03</v>
      </c>
      <c r="F38" s="9">
        <v>7</v>
      </c>
      <c r="G38" s="9">
        <v>332</v>
      </c>
      <c r="H38" s="10">
        <v>0.66406585937500018</v>
      </c>
      <c r="J38" s="11">
        <v>0</v>
      </c>
      <c r="K38" s="12">
        <v>0.03</v>
      </c>
      <c r="L38" s="8">
        <f t="shared" ref="L38:L56" si="2">MAX(A38-$H$2,0)</f>
        <v>0</v>
      </c>
      <c r="M38" s="8">
        <f t="shared" ref="M38:M69" si="3">(L38-K38)*J38*100</f>
        <v>0</v>
      </c>
    </row>
    <row r="39" spans="1:13" x14ac:dyDescent="0.2">
      <c r="A39" s="8">
        <v>104</v>
      </c>
      <c r="B39" s="8">
        <v>0</v>
      </c>
      <c r="C39" s="8">
        <v>0.11</v>
      </c>
      <c r="D39" s="8">
        <v>0.04</v>
      </c>
      <c r="E39" s="8">
        <v>0.04</v>
      </c>
      <c r="F39" s="9">
        <v>201</v>
      </c>
      <c r="G39" s="9">
        <v>397</v>
      </c>
      <c r="H39" s="10">
        <v>0.72265902343749999</v>
      </c>
      <c r="J39" s="11">
        <v>0</v>
      </c>
      <c r="K39" s="12">
        <v>0.04</v>
      </c>
      <c r="L39" s="8">
        <f t="shared" si="2"/>
        <v>0</v>
      </c>
      <c r="M39" s="8">
        <f t="shared" si="3"/>
        <v>0</v>
      </c>
    </row>
    <row r="40" spans="1:13" x14ac:dyDescent="0.2">
      <c r="A40" s="8">
        <v>105</v>
      </c>
      <c r="B40" s="8">
        <v>0</v>
      </c>
      <c r="C40" s="8">
        <v>0.1</v>
      </c>
      <c r="D40" s="8">
        <v>7.0000000000000007E-2</v>
      </c>
      <c r="E40" s="8">
        <v>7.0000000000000007E-2</v>
      </c>
      <c r="F40" s="9">
        <v>18</v>
      </c>
      <c r="G40" s="9">
        <v>64</v>
      </c>
      <c r="H40" s="10">
        <v>0.66797207031250017</v>
      </c>
      <c r="J40" s="11">
        <v>0</v>
      </c>
      <c r="K40" s="12">
        <v>7.0000000000000007E-2</v>
      </c>
      <c r="L40" s="8">
        <f t="shared" si="2"/>
        <v>0</v>
      </c>
      <c r="M40" s="8">
        <f t="shared" si="3"/>
        <v>0</v>
      </c>
    </row>
    <row r="41" spans="1:13" x14ac:dyDescent="0.2">
      <c r="A41" s="8">
        <v>106</v>
      </c>
      <c r="B41" s="8">
        <v>0</v>
      </c>
      <c r="C41" s="8">
        <v>0.32</v>
      </c>
      <c r="D41" s="8">
        <v>0.12</v>
      </c>
      <c r="E41" s="8">
        <v>0.12</v>
      </c>
      <c r="F41" s="9">
        <v>22</v>
      </c>
      <c r="G41" s="9">
        <v>265</v>
      </c>
      <c r="H41" s="10">
        <v>0.76562734375000008</v>
      </c>
      <c r="J41" s="11">
        <v>0</v>
      </c>
      <c r="K41" s="12">
        <v>0.12</v>
      </c>
      <c r="L41" s="8">
        <f t="shared" si="2"/>
        <v>0</v>
      </c>
      <c r="M41" s="8">
        <f t="shared" si="3"/>
        <v>0</v>
      </c>
    </row>
    <row r="42" spans="1:13" x14ac:dyDescent="0.2">
      <c r="A42" s="8">
        <v>107</v>
      </c>
      <c r="B42" s="8">
        <v>0</v>
      </c>
      <c r="C42" s="8">
        <v>0.34</v>
      </c>
      <c r="D42" s="8">
        <v>0.09</v>
      </c>
      <c r="E42" s="8">
        <v>0.09</v>
      </c>
      <c r="F42" s="9">
        <v>207</v>
      </c>
      <c r="G42" s="9">
        <v>797</v>
      </c>
      <c r="H42" s="10">
        <v>0.72265902343749999</v>
      </c>
      <c r="J42" s="11">
        <v>0</v>
      </c>
      <c r="K42" s="12">
        <v>0.09</v>
      </c>
      <c r="L42" s="8">
        <f t="shared" si="2"/>
        <v>0</v>
      </c>
      <c r="M42" s="8">
        <f t="shared" si="3"/>
        <v>0</v>
      </c>
    </row>
    <row r="43" spans="1:13" x14ac:dyDescent="0.2">
      <c r="A43" s="8">
        <v>108</v>
      </c>
      <c r="B43" s="8">
        <v>0.06</v>
      </c>
      <c r="C43" s="8">
        <v>0.39</v>
      </c>
      <c r="D43" s="8">
        <v>0.09</v>
      </c>
      <c r="E43" s="8">
        <v>0.22500000000000001</v>
      </c>
      <c r="F43" s="9">
        <v>111</v>
      </c>
      <c r="G43" s="9">
        <v>86</v>
      </c>
      <c r="H43" s="10">
        <v>0.71484660156250002</v>
      </c>
      <c r="J43" s="11">
        <v>0</v>
      </c>
      <c r="K43" s="12">
        <v>0.22500000000000001</v>
      </c>
      <c r="L43" s="8">
        <f t="shared" si="2"/>
        <v>0</v>
      </c>
      <c r="M43" s="8">
        <f t="shared" si="3"/>
        <v>0</v>
      </c>
    </row>
    <row r="44" spans="1:13" x14ac:dyDescent="0.2">
      <c r="A44" s="8">
        <v>109</v>
      </c>
      <c r="B44" s="8">
        <v>0.01</v>
      </c>
      <c r="C44" s="8">
        <v>0.36</v>
      </c>
      <c r="D44" s="8">
        <v>0.11</v>
      </c>
      <c r="E44" s="8">
        <v>0.185</v>
      </c>
      <c r="F44" s="9">
        <v>45</v>
      </c>
      <c r="G44" s="9">
        <v>132</v>
      </c>
      <c r="H44" s="10">
        <v>0.63086306640625001</v>
      </c>
      <c r="J44" s="11">
        <v>0</v>
      </c>
      <c r="K44" s="12">
        <v>0.185</v>
      </c>
      <c r="L44" s="8">
        <f t="shared" si="2"/>
        <v>0</v>
      </c>
      <c r="M44" s="8">
        <f t="shared" si="3"/>
        <v>0</v>
      </c>
    </row>
    <row r="45" spans="1:13" x14ac:dyDescent="0.2">
      <c r="A45" s="8">
        <v>110</v>
      </c>
      <c r="B45" s="8">
        <v>0.05</v>
      </c>
      <c r="C45" s="8">
        <v>0.23</v>
      </c>
      <c r="D45" s="8">
        <v>0.17</v>
      </c>
      <c r="E45" s="8">
        <v>0.14000000000000001</v>
      </c>
      <c r="F45" s="9">
        <v>30</v>
      </c>
      <c r="G45" s="9">
        <v>227</v>
      </c>
      <c r="H45" s="10">
        <v>0.54394987304687503</v>
      </c>
      <c r="J45" s="11">
        <v>0</v>
      </c>
      <c r="K45" s="12">
        <v>0.14000000000000001</v>
      </c>
      <c r="L45" s="8">
        <f t="shared" si="2"/>
        <v>0</v>
      </c>
      <c r="M45" s="8">
        <f t="shared" si="3"/>
        <v>0</v>
      </c>
    </row>
    <row r="46" spans="1:13" x14ac:dyDescent="0.2">
      <c r="A46" s="8">
        <v>111</v>
      </c>
      <c r="B46" s="8">
        <v>0.05</v>
      </c>
      <c r="C46" s="8">
        <v>0.27</v>
      </c>
      <c r="D46" s="8">
        <v>0.23</v>
      </c>
      <c r="E46" s="8">
        <v>0.16</v>
      </c>
      <c r="F46" s="9">
        <v>15</v>
      </c>
      <c r="G46" s="9">
        <v>113</v>
      </c>
      <c r="H46" s="10">
        <v>0.50781742187500001</v>
      </c>
      <c r="J46" s="11">
        <v>0</v>
      </c>
      <c r="K46" s="12">
        <v>0.16</v>
      </c>
      <c r="L46" s="8">
        <f t="shared" si="2"/>
        <v>0</v>
      </c>
      <c r="M46" s="8">
        <f t="shared" si="3"/>
        <v>0</v>
      </c>
    </row>
    <row r="47" spans="1:13" x14ac:dyDescent="0.2">
      <c r="A47" s="8">
        <v>112</v>
      </c>
      <c r="B47" s="8">
        <v>0.24</v>
      </c>
      <c r="C47" s="8">
        <v>0.39</v>
      </c>
      <c r="D47" s="8">
        <v>0.23</v>
      </c>
      <c r="E47" s="8">
        <v>0.315</v>
      </c>
      <c r="F47" s="9">
        <v>96</v>
      </c>
      <c r="G47" s="9">
        <v>258</v>
      </c>
      <c r="H47" s="10">
        <v>0.54394987304687503</v>
      </c>
      <c r="J47" s="11">
        <v>0</v>
      </c>
      <c r="K47" s="12">
        <v>0.315</v>
      </c>
      <c r="L47" s="8">
        <f t="shared" si="2"/>
        <v>0</v>
      </c>
      <c r="M47" s="8">
        <f t="shared" si="3"/>
        <v>0</v>
      </c>
    </row>
    <row r="48" spans="1:13" x14ac:dyDescent="0.2">
      <c r="A48" s="8">
        <v>113</v>
      </c>
      <c r="B48" s="8">
        <v>0.33</v>
      </c>
      <c r="C48" s="8">
        <v>0.57999999999999996</v>
      </c>
      <c r="D48" s="8">
        <v>0.49</v>
      </c>
      <c r="E48" s="8">
        <v>0.45500000000000002</v>
      </c>
      <c r="F48" s="9">
        <v>43</v>
      </c>
      <c r="G48" s="9">
        <v>647</v>
      </c>
      <c r="H48" s="10">
        <v>0.54492642578125006</v>
      </c>
      <c r="J48" s="11">
        <v>0</v>
      </c>
      <c r="K48" s="12">
        <v>0.45500000000000002</v>
      </c>
      <c r="L48" s="8">
        <f t="shared" si="2"/>
        <v>0</v>
      </c>
      <c r="M48" s="8">
        <f t="shared" si="3"/>
        <v>0</v>
      </c>
    </row>
    <row r="49" spans="1:13" x14ac:dyDescent="0.2">
      <c r="A49" s="8">
        <v>114</v>
      </c>
      <c r="B49" s="8">
        <v>0.32</v>
      </c>
      <c r="C49" s="8">
        <v>0.76</v>
      </c>
      <c r="D49" s="8">
        <v>0.55000000000000004</v>
      </c>
      <c r="E49" s="8">
        <v>0.54</v>
      </c>
      <c r="F49" s="9">
        <v>95</v>
      </c>
      <c r="G49" s="9">
        <v>594</v>
      </c>
      <c r="H49" s="10">
        <v>0.51123535644531248</v>
      </c>
      <c r="J49" s="11">
        <v>0</v>
      </c>
      <c r="K49" s="12">
        <v>0.54</v>
      </c>
      <c r="L49" s="8">
        <f t="shared" si="2"/>
        <v>0</v>
      </c>
      <c r="M49" s="8">
        <f t="shared" si="3"/>
        <v>0</v>
      </c>
    </row>
    <row r="50" spans="1:13" x14ac:dyDescent="0.2">
      <c r="A50" s="8">
        <v>115</v>
      </c>
      <c r="B50" s="8">
        <v>0.7</v>
      </c>
      <c r="C50" s="8">
        <v>1.03</v>
      </c>
      <c r="D50" s="8">
        <v>0.97</v>
      </c>
      <c r="E50" s="8">
        <v>0.86499999999999999</v>
      </c>
      <c r="F50" s="9">
        <v>203</v>
      </c>
      <c r="G50" s="9">
        <v>823</v>
      </c>
      <c r="H50" s="10">
        <v>0.54394987304687503</v>
      </c>
      <c r="J50" s="11">
        <v>0</v>
      </c>
      <c r="K50" s="12">
        <v>0.86499999999999999</v>
      </c>
      <c r="L50" s="8">
        <f t="shared" si="2"/>
        <v>0</v>
      </c>
      <c r="M50" s="8">
        <f t="shared" si="3"/>
        <v>0</v>
      </c>
    </row>
    <row r="51" spans="1:13" x14ac:dyDescent="0.2">
      <c r="A51" s="8">
        <v>116</v>
      </c>
      <c r="B51" s="8">
        <v>0.77</v>
      </c>
      <c r="C51" s="8">
        <v>1.22</v>
      </c>
      <c r="D51" s="8">
        <v>1.04</v>
      </c>
      <c r="E51" s="8">
        <v>0.995</v>
      </c>
      <c r="F51" s="9">
        <v>84</v>
      </c>
      <c r="G51" s="9">
        <v>220</v>
      </c>
      <c r="H51" s="10">
        <v>0.50098155273437506</v>
      </c>
      <c r="J51" s="11">
        <v>0</v>
      </c>
      <c r="K51" s="12">
        <v>0.995</v>
      </c>
      <c r="L51" s="8">
        <f t="shared" si="2"/>
        <v>0</v>
      </c>
      <c r="M51" s="8">
        <f t="shared" si="3"/>
        <v>0</v>
      </c>
    </row>
    <row r="52" spans="1:13" x14ac:dyDescent="0.2">
      <c r="A52" s="8">
        <v>117</v>
      </c>
      <c r="B52" s="8">
        <v>1.1399999999999999</v>
      </c>
      <c r="C52" s="8">
        <v>1.78</v>
      </c>
      <c r="D52" s="8">
        <v>1.55</v>
      </c>
      <c r="E52" s="8">
        <v>1.46</v>
      </c>
      <c r="F52" s="9">
        <v>368</v>
      </c>
      <c r="G52" s="9">
        <v>579</v>
      </c>
      <c r="H52" s="10">
        <v>0.53271951660156247</v>
      </c>
      <c r="J52" s="11">
        <v>0</v>
      </c>
      <c r="K52" s="12">
        <v>1.46</v>
      </c>
      <c r="L52" s="8">
        <f t="shared" si="2"/>
        <v>0</v>
      </c>
      <c r="M52" s="8">
        <f t="shared" si="3"/>
        <v>0</v>
      </c>
    </row>
    <row r="53" spans="1:13" x14ac:dyDescent="0.2">
      <c r="A53" s="8">
        <v>118</v>
      </c>
      <c r="B53" s="8">
        <v>1.66</v>
      </c>
      <c r="C53" s="8">
        <v>2</v>
      </c>
      <c r="D53" s="8">
        <v>1.9</v>
      </c>
      <c r="E53" s="8">
        <v>1.83</v>
      </c>
      <c r="F53" s="9">
        <v>212</v>
      </c>
      <c r="G53" s="9">
        <v>8</v>
      </c>
      <c r="H53" s="10">
        <v>0.52197743652343742</v>
      </c>
      <c r="J53" s="11">
        <v>0</v>
      </c>
      <c r="K53" s="12">
        <v>1.83</v>
      </c>
      <c r="L53" s="8">
        <f t="shared" si="2"/>
        <v>0</v>
      </c>
      <c r="M53" s="8">
        <f t="shared" si="3"/>
        <v>0</v>
      </c>
    </row>
    <row r="54" spans="1:13" x14ac:dyDescent="0.2">
      <c r="A54" s="8">
        <v>119</v>
      </c>
      <c r="B54" s="8">
        <v>2.06</v>
      </c>
      <c r="C54" s="8">
        <v>2.74</v>
      </c>
      <c r="D54" s="8">
        <v>2.2000000000000002</v>
      </c>
      <c r="E54" s="8">
        <v>2.4</v>
      </c>
      <c r="F54" s="9">
        <v>20</v>
      </c>
      <c r="G54" s="9">
        <v>52</v>
      </c>
      <c r="H54" s="10">
        <v>0.5419967675781252</v>
      </c>
      <c r="J54" s="11">
        <v>0</v>
      </c>
      <c r="K54" s="12">
        <v>2.4</v>
      </c>
      <c r="L54" s="8">
        <f t="shared" si="2"/>
        <v>0.13500000000000512</v>
      </c>
      <c r="M54" s="8">
        <f t="shared" si="3"/>
        <v>0</v>
      </c>
    </row>
    <row r="55" spans="1:13" x14ac:dyDescent="0.2">
      <c r="A55" s="8">
        <v>120</v>
      </c>
      <c r="B55" s="8">
        <v>2.5</v>
      </c>
      <c r="C55" s="8">
        <v>3.35</v>
      </c>
      <c r="D55" s="8">
        <v>3.03</v>
      </c>
      <c r="E55" s="8">
        <v>2.9249999999999998</v>
      </c>
      <c r="F55" s="9">
        <v>5</v>
      </c>
      <c r="G55" s="9">
        <v>59</v>
      </c>
      <c r="H55" s="10">
        <v>0.53564917480468754</v>
      </c>
      <c r="J55" s="11">
        <v>0</v>
      </c>
      <c r="K55" s="12">
        <v>2.9249999999999998</v>
      </c>
      <c r="L55" s="8">
        <f t="shared" si="2"/>
        <v>1.1350000000000051</v>
      </c>
      <c r="M55" s="8">
        <f t="shared" si="3"/>
        <v>0</v>
      </c>
    </row>
    <row r="56" spans="1:13" x14ac:dyDescent="0.2">
      <c r="A56" s="8">
        <v>125</v>
      </c>
      <c r="B56" s="8">
        <v>6.05</v>
      </c>
      <c r="C56" s="8">
        <v>8.15</v>
      </c>
      <c r="D56" s="8">
        <v>12.94</v>
      </c>
      <c r="E56" s="8">
        <v>7.1</v>
      </c>
      <c r="F56" s="9">
        <v>0</v>
      </c>
      <c r="G56" s="9">
        <v>23</v>
      </c>
      <c r="H56" s="10">
        <v>0.70752245605468755</v>
      </c>
      <c r="J56" s="11">
        <v>0</v>
      </c>
      <c r="K56" s="12">
        <v>7.1</v>
      </c>
      <c r="L56" s="8">
        <f t="shared" si="2"/>
        <v>6.1350000000000051</v>
      </c>
      <c r="M56" s="8">
        <f t="shared" si="3"/>
        <v>0</v>
      </c>
    </row>
  </sheetData>
  <conditionalFormatting sqref="M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M6:M5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2026-01-21T18:46:08Z</dcterms:created>
  <dcterms:modified xsi:type="dcterms:W3CDTF">2026-01-21T18:47:03Z</dcterms:modified>
</cp:coreProperties>
</file>