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  <sheet name="Puts" sheetId="2" state="visible" r:id="rId2"/>
    <sheet name="Expi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1"/>
    </font>
    <font>
      <b val="1"/>
      <color rgb="000070C0"/>
    </font>
    <font>
      <b val="1"/>
      <color rgb="000070C0"/>
      <sz val="12"/>
    </font>
  </fonts>
  <fills count="5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4F81BD"/>
        <bgColor rgb="004F81BD"/>
      </patternFill>
    </fill>
    <fill>
      <patternFill patternType="solid">
        <fgColor rgb="00FFFFC8"/>
        <bgColor rgb="00FFFF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dxfs count="4">
    <dxf>
      <font>
        <color rgb="00008000"/>
      </font>
    </dxf>
    <dxf>
      <font>
        <color rgb="00C00000"/>
      </font>
    </dxf>
    <dxf>
      <font>
        <color rgb="00008000"/>
      </font>
      <fill>
        <patternFill patternType="solid">
          <fgColor rgb="00C6EFCE"/>
          <bgColor rgb="00C6EFCE"/>
        </patternFill>
      </fill>
    </dxf>
    <dxf>
      <font>
        <color rgb="00C0000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8" customWidth="1" min="10" max="10"/>
    <col width="8" customWidth="1" min="11" max="11"/>
    <col width="10" customWidth="1" min="12" max="12"/>
    <col width="10" customWidth="1" min="13" max="13"/>
    <col width="9" customWidth="1" min="14" max="14"/>
    <col width="10" customWidth="1" min="15" max="15"/>
    <col width="10" customWidth="1" min="16" max="16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</t>
        </is>
      </c>
      <c r="F1" s="1" t="inlineStr">
        <is>
          <t>Current Price</t>
        </is>
      </c>
      <c r="H1" s="2" t="inlineStr">
        <is>
          <t>Stock @ Expiry</t>
        </is>
      </c>
      <c r="J1" s="2" t="inlineStr">
        <is>
          <t>Stock Shares</t>
        </is>
      </c>
      <c r="K1" s="2" t="inlineStr">
        <is>
          <t>Stock Entry</t>
        </is>
      </c>
      <c r="L1" s="2" t="inlineStr">
        <is>
          <t>Stock P&amp;L</t>
        </is>
      </c>
    </row>
    <row r="2">
      <c r="B2" s="3" t="inlineStr">
        <is>
          <t>CCJ</t>
        </is>
      </c>
      <c r="C2" s="3" t="inlineStr">
        <is>
          <t>2026-02-20</t>
        </is>
      </c>
      <c r="D2" s="3" t="n">
        <v>29</v>
      </c>
      <c r="F2" s="4" t="n">
        <v>119.38</v>
      </c>
      <c r="H2" s="5" t="n">
        <v>119.38</v>
      </c>
      <c r="J2" s="6" t="n">
        <v>0</v>
      </c>
      <c r="K2" s="5" t="n">
        <v>119.38</v>
      </c>
      <c r="L2" s="7">
        <f>(H2-K2)*J2</f>
        <v/>
      </c>
    </row>
    <row r="3">
      <c r="A3" s="8" t="inlineStr">
        <is>
          <t>SUMMARY</t>
        </is>
      </c>
      <c r="B3" s="9" t="inlineStr">
        <is>
          <t>Premiums Paid:</t>
        </is>
      </c>
      <c r="C3" s="10">
        <f>SUM(L6:L26)</f>
        <v/>
      </c>
      <c r="D3" s="9" t="inlineStr">
        <is>
          <t>Premiums Rcvd:</t>
        </is>
      </c>
      <c r="E3" s="10">
        <f>SUM(M6:M26)</f>
        <v/>
      </c>
      <c r="F3" s="9" t="inlineStr">
        <is>
          <t>Options Payout:</t>
        </is>
      </c>
      <c r="G3" s="10">
        <f>SUM(O6:O26)</f>
        <v/>
      </c>
      <c r="H3" s="9" t="inlineStr">
        <is>
          <t>Options P&amp;L:</t>
        </is>
      </c>
      <c r="I3" s="10">
        <f>SUM(P6:P26)</f>
        <v/>
      </c>
      <c r="J3" s="9" t="inlineStr">
        <is>
          <t>Stock P&amp;L:</t>
        </is>
      </c>
      <c r="K3" s="10">
        <f>L2</f>
        <v/>
      </c>
      <c r="L3" s="11" t="inlineStr">
        <is>
          <t>TOTAL P&amp;L:</t>
        </is>
      </c>
      <c r="M3" s="12">
        <f>I3+K3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</t>
        </is>
      </c>
      <c r="L5" s="2" t="inlineStr">
        <is>
          <t>Prem Paid</t>
        </is>
      </c>
      <c r="M5" s="2" t="inlineStr">
        <is>
          <t>Prem Rcvd</t>
        </is>
      </c>
      <c r="N5" s="2" t="inlineStr">
        <is>
          <t>Val@Exp</t>
        </is>
      </c>
      <c r="O5" s="2" t="inlineStr">
        <is>
          <t>Payout</t>
        </is>
      </c>
      <c r="P5" s="2" t="inlineStr">
        <is>
          <t>P&amp;L</t>
        </is>
      </c>
    </row>
    <row r="6">
      <c r="A6" s="13" t="n">
        <v>45</v>
      </c>
      <c r="B6" s="13" t="n">
        <v>72.09999999999999</v>
      </c>
      <c r="C6" s="13" t="n">
        <v>75.55</v>
      </c>
      <c r="D6" s="13" t="n">
        <v>43.04</v>
      </c>
      <c r="E6" s="13" t="n">
        <v>73.82499999999999</v>
      </c>
      <c r="F6" s="14" t="n">
        <v>0</v>
      </c>
      <c r="G6" s="14" t="n">
        <v>2</v>
      </c>
      <c r="H6" s="15" t="n">
        <v>2.163090529785157</v>
      </c>
      <c r="I6" s="16" t="n">
        <v>0.9719908231151336</v>
      </c>
      <c r="J6" s="17" t="n">
        <v>0</v>
      </c>
      <c r="K6" s="18" t="n">
        <v>73.82499999999999</v>
      </c>
      <c r="L6" s="13">
        <f>IF(J6&gt;0,K6*J6*100,0)</f>
        <v/>
      </c>
      <c r="M6" s="13">
        <f>IF(J6&lt;0,K6*-J6*100,0)</f>
        <v/>
      </c>
      <c r="N6" s="13">
        <f>MAX($H$2-A6,0)</f>
        <v/>
      </c>
      <c r="O6" s="13">
        <f>N6*J6*100</f>
        <v/>
      </c>
      <c r="P6" s="13">
        <f>O6-L6+M6</f>
        <v/>
      </c>
    </row>
    <row r="7">
      <c r="A7" s="13" t="n">
        <v>50</v>
      </c>
      <c r="B7" s="13" t="n">
        <v>67.2</v>
      </c>
      <c r="C7" s="13" t="n">
        <v>70.8</v>
      </c>
      <c r="D7" s="13" t="n">
        <v>66</v>
      </c>
      <c r="E7" s="13" t="n">
        <v>69</v>
      </c>
      <c r="F7" s="14" t="n">
        <v>15</v>
      </c>
      <c r="G7" s="14" t="n">
        <v>99</v>
      </c>
      <c r="H7" s="15" t="n">
        <v>2.041508802490234</v>
      </c>
      <c r="I7" s="16" t="n">
        <v>0.9645650931743075</v>
      </c>
      <c r="J7" s="17" t="n">
        <v>0</v>
      </c>
      <c r="K7" s="18" t="n">
        <v>69</v>
      </c>
      <c r="L7" s="13">
        <f>IF(J7&gt;0,K7*J7*100,0)</f>
        <v/>
      </c>
      <c r="M7" s="13">
        <f>IF(J7&lt;0,K7*-J7*100,0)</f>
        <v/>
      </c>
      <c r="N7" s="13">
        <f>MAX($H$2-A7,0)</f>
        <v/>
      </c>
      <c r="O7" s="13">
        <f>N7*J7*100</f>
        <v/>
      </c>
      <c r="P7" s="13">
        <f>O7-L7+M7</f>
        <v/>
      </c>
    </row>
    <row r="8">
      <c r="A8" s="13" t="n">
        <v>55</v>
      </c>
      <c r="B8" s="13" t="n">
        <v>62.15</v>
      </c>
      <c r="C8" s="13" t="n">
        <v>65.55</v>
      </c>
      <c r="D8" s="13" t="n">
        <v>61.5</v>
      </c>
      <c r="E8" s="13" t="n">
        <v>63.84999999999999</v>
      </c>
      <c r="F8" s="14" t="n">
        <v>2</v>
      </c>
      <c r="G8" s="14" t="n">
        <v>9</v>
      </c>
      <c r="H8" s="15" t="n">
        <v>1.763184777832031</v>
      </c>
      <c r="I8" s="16" t="n">
        <v>0.9652399594021417</v>
      </c>
      <c r="J8" s="17" t="n">
        <v>0</v>
      </c>
      <c r="K8" s="18" t="n">
        <v>63.84999999999999</v>
      </c>
      <c r="L8" s="13">
        <f>IF(J8&gt;0,K8*J8*100,0)</f>
        <v/>
      </c>
      <c r="M8" s="13">
        <f>IF(J8&lt;0,K8*-J8*100,0)</f>
        <v/>
      </c>
      <c r="N8" s="13">
        <f>MAX($H$2-A8,0)</f>
        <v/>
      </c>
      <c r="O8" s="13">
        <f>N8*J8*100</f>
        <v/>
      </c>
      <c r="P8" s="13">
        <f>O8-L8+M8</f>
        <v/>
      </c>
    </row>
    <row r="9">
      <c r="A9" s="13" t="n">
        <v>60</v>
      </c>
      <c r="B9" s="13" t="n">
        <v>57.55</v>
      </c>
      <c r="C9" s="13" t="n">
        <v>60.2</v>
      </c>
      <c r="D9" s="13" t="n">
        <v>49.01</v>
      </c>
      <c r="E9" s="13" t="n">
        <v>58.875</v>
      </c>
      <c r="F9" s="14" t="n">
        <v>291</v>
      </c>
      <c r="G9" s="14" t="n">
        <v>392</v>
      </c>
      <c r="H9" s="15" t="n">
        <v>1.470705771484375</v>
      </c>
      <c r="I9" s="16" t="n">
        <v>0.9696343308399324</v>
      </c>
      <c r="J9" s="17" t="n">
        <v>0</v>
      </c>
      <c r="K9" s="18" t="n">
        <v>58.875</v>
      </c>
      <c r="L9" s="13">
        <f>IF(J9&gt;0,K9*J9*100,0)</f>
        <v/>
      </c>
      <c r="M9" s="13">
        <f>IF(J9&lt;0,K9*-J9*100,0)</f>
        <v/>
      </c>
      <c r="N9" s="13">
        <f>MAX($H$2-A9,0)</f>
        <v/>
      </c>
      <c r="O9" s="13">
        <f>N9*J9*100</f>
        <v/>
      </c>
      <c r="P9" s="13">
        <f>O9-L9+M9</f>
        <v/>
      </c>
    </row>
    <row r="10">
      <c r="A10" s="13" t="n">
        <v>65</v>
      </c>
      <c r="B10" s="13" t="n">
        <v>52.2</v>
      </c>
      <c r="C10" s="13" t="n">
        <v>55.7</v>
      </c>
      <c r="D10" s="13" t="n">
        <v>28.6</v>
      </c>
      <c r="E10" s="13" t="n">
        <v>53.95</v>
      </c>
      <c r="F10" s="14" t="n">
        <v>2</v>
      </c>
      <c r="G10" s="14" t="n">
        <v>5</v>
      </c>
      <c r="H10" s="15" t="n">
        <v>1.473635444335938</v>
      </c>
      <c r="I10" s="16" t="n">
        <v>0.9535061646680937</v>
      </c>
      <c r="J10" s="17" t="n">
        <v>0</v>
      </c>
      <c r="K10" s="18" t="n">
        <v>53.95</v>
      </c>
      <c r="L10" s="13">
        <f>IF(J10&gt;0,K10*J10*100,0)</f>
        <v/>
      </c>
      <c r="M10" s="13">
        <f>IF(J10&lt;0,K10*-J10*100,0)</f>
        <v/>
      </c>
      <c r="N10" s="13">
        <f>MAX($H$2-A10,0)</f>
        <v/>
      </c>
      <c r="O10" s="13">
        <f>N10*J10*100</f>
        <v/>
      </c>
      <c r="P10" s="13">
        <f>O10-L10+M10</f>
        <v/>
      </c>
    </row>
    <row r="11">
      <c r="A11" s="13" t="n">
        <v>70</v>
      </c>
      <c r="B11" s="13" t="n">
        <v>47.25</v>
      </c>
      <c r="C11" s="13" t="n">
        <v>50.1</v>
      </c>
      <c r="D11" s="13" t="n">
        <v>50.25</v>
      </c>
      <c r="E11" s="13" t="n">
        <v>48.675</v>
      </c>
      <c r="F11" s="14" t="n">
        <v>2</v>
      </c>
      <c r="G11" s="14" t="n">
        <v>108</v>
      </c>
      <c r="H11" s="15" t="n">
        <v>1.150883151855469</v>
      </c>
      <c r="I11" s="16" t="n">
        <v>0.9655260726571022</v>
      </c>
      <c r="J11" s="17" t="n">
        <v>0</v>
      </c>
      <c r="K11" s="18" t="n">
        <v>48.675</v>
      </c>
      <c r="L11" s="13">
        <f>IF(J11&gt;0,K11*J11*100,0)</f>
        <v/>
      </c>
      <c r="M11" s="13">
        <f>IF(J11&lt;0,K11*-J11*100,0)</f>
        <v/>
      </c>
      <c r="N11" s="13">
        <f>MAX($H$2-A11,0)</f>
        <v/>
      </c>
      <c r="O11" s="13">
        <f>N11*J11*100</f>
        <v/>
      </c>
      <c r="P11" s="13">
        <f>O11-L11+M11</f>
        <v/>
      </c>
    </row>
    <row r="12">
      <c r="A12" s="13" t="n">
        <v>75</v>
      </c>
      <c r="B12" s="13" t="n">
        <v>42.7</v>
      </c>
      <c r="C12" s="13" t="n">
        <v>45.35</v>
      </c>
      <c r="D12" s="13" t="n">
        <v>40.2</v>
      </c>
      <c r="E12" s="13" t="n">
        <v>44.02500000000001</v>
      </c>
      <c r="F12" s="14" t="n">
        <v>1</v>
      </c>
      <c r="G12" s="14" t="n">
        <v>70</v>
      </c>
      <c r="H12" s="15" t="n">
        <v>1.095707646484375</v>
      </c>
      <c r="I12" s="16" t="n">
        <v>0.9526407786541835</v>
      </c>
      <c r="J12" s="17" t="n">
        <v>0</v>
      </c>
      <c r="K12" s="18" t="n">
        <v>44.02500000000001</v>
      </c>
      <c r="L12" s="13">
        <f>IF(J12&gt;0,K12*J12*100,0)</f>
        <v/>
      </c>
      <c r="M12" s="13">
        <f>IF(J12&lt;0,K12*-J12*100,0)</f>
        <v/>
      </c>
      <c r="N12" s="13">
        <f>MAX($H$2-A12,0)</f>
        <v/>
      </c>
      <c r="O12" s="13">
        <f>N12*J12*100</f>
        <v/>
      </c>
      <c r="P12" s="13">
        <f>O12-L12+M12</f>
        <v/>
      </c>
    </row>
    <row r="13">
      <c r="A13" s="13" t="n">
        <v>80</v>
      </c>
      <c r="B13" s="13" t="n">
        <v>37.4</v>
      </c>
      <c r="C13" s="13" t="n">
        <v>40.4</v>
      </c>
      <c r="D13" s="13" t="n">
        <v>35</v>
      </c>
      <c r="E13" s="13" t="n">
        <v>38.9</v>
      </c>
      <c r="F13" s="14" t="n">
        <v>6</v>
      </c>
      <c r="G13" s="14" t="n">
        <v>85</v>
      </c>
      <c r="H13" s="15" t="n">
        <v>0.981445498046875</v>
      </c>
      <c r="I13" s="16" t="n">
        <v>0.9449991574513503</v>
      </c>
      <c r="J13" s="17" t="n">
        <v>0</v>
      </c>
      <c r="K13" s="18" t="n">
        <v>38.9</v>
      </c>
      <c r="L13" s="13">
        <f>IF(J13&gt;0,K13*J13*100,0)</f>
        <v/>
      </c>
      <c r="M13" s="13">
        <f>IF(J13&lt;0,K13*-J13*100,0)</f>
        <v/>
      </c>
      <c r="N13" s="13">
        <f>MAX($H$2-A13,0)</f>
        <v/>
      </c>
      <c r="O13" s="13">
        <f>N13*J13*100</f>
        <v/>
      </c>
      <c r="P13" s="13">
        <f>O13-L13+M13</f>
        <v/>
      </c>
    </row>
    <row r="14">
      <c r="A14" s="13" t="n">
        <v>85</v>
      </c>
      <c r="B14" s="13" t="n">
        <v>32.9</v>
      </c>
      <c r="C14" s="13" t="n">
        <v>35.2</v>
      </c>
      <c r="D14" s="13" t="n">
        <v>35.19</v>
      </c>
      <c r="E14" s="13" t="n">
        <v>34.05</v>
      </c>
      <c r="F14" s="14" t="n">
        <v>2</v>
      </c>
      <c r="G14" s="14" t="n">
        <v>72</v>
      </c>
      <c r="H14" s="15" t="n">
        <v>0.815431533203125</v>
      </c>
      <c r="I14" s="16" t="n">
        <v>0.9461089512598205</v>
      </c>
      <c r="J14" s="17" t="n">
        <v>0</v>
      </c>
      <c r="K14" s="18" t="n">
        <v>34.05</v>
      </c>
      <c r="L14" s="13">
        <f>IF(J14&gt;0,K14*J14*100,0)</f>
        <v/>
      </c>
      <c r="M14" s="13">
        <f>IF(J14&lt;0,K14*-J14*100,0)</f>
        <v/>
      </c>
      <c r="N14" s="13">
        <f>MAX($H$2-A14,0)</f>
        <v/>
      </c>
      <c r="O14" s="13">
        <f>N14*J14*100</f>
        <v/>
      </c>
      <c r="P14" s="13">
        <f>O14-L14+M14</f>
        <v/>
      </c>
    </row>
    <row r="15">
      <c r="A15" s="13" t="n">
        <v>90</v>
      </c>
      <c r="B15" s="13" t="n">
        <v>28.9</v>
      </c>
      <c r="C15" s="13" t="n">
        <v>29.95</v>
      </c>
      <c r="D15" s="13" t="n">
        <v>29.83</v>
      </c>
      <c r="E15" s="13" t="n">
        <v>29.425</v>
      </c>
      <c r="F15" s="14" t="n">
        <v>9</v>
      </c>
      <c r="G15" s="14" t="n">
        <v>730</v>
      </c>
      <c r="H15" s="15" t="n">
        <v>0.6459996337890624</v>
      </c>
      <c r="I15" s="16" t="n">
        <v>0.9517562410037478</v>
      </c>
      <c r="J15" s="17" t="n">
        <v>0</v>
      </c>
      <c r="K15" s="18" t="n">
        <v>29.425</v>
      </c>
      <c r="L15" s="13">
        <f>IF(J15&gt;0,K15*J15*100,0)</f>
        <v/>
      </c>
      <c r="M15" s="13">
        <f>IF(J15&lt;0,K15*-J15*100,0)</f>
        <v/>
      </c>
      <c r="N15" s="13">
        <f>MAX($H$2-A15,0)</f>
        <v/>
      </c>
      <c r="O15" s="13">
        <f>N15*J15*100</f>
        <v/>
      </c>
      <c r="P15" s="13">
        <f>O15-L15+M15</f>
        <v/>
      </c>
    </row>
    <row r="16">
      <c r="A16" s="13" t="n">
        <v>95</v>
      </c>
      <c r="B16" s="13" t="n">
        <v>24.2</v>
      </c>
      <c r="C16" s="13" t="n">
        <v>25.55</v>
      </c>
      <c r="D16" s="13" t="n">
        <v>24.05</v>
      </c>
      <c r="E16" s="13" t="n">
        <v>24.875</v>
      </c>
      <c r="F16" s="14" t="n">
        <v>9</v>
      </c>
      <c r="G16" s="14" t="n">
        <v>293</v>
      </c>
      <c r="H16" s="15" t="n">
        <v>0.5273484765625001</v>
      </c>
      <c r="I16" s="16" t="n">
        <v>0.948991867534162</v>
      </c>
      <c r="J16" s="17" t="n">
        <v>0</v>
      </c>
      <c r="K16" s="18" t="n">
        <v>24.875</v>
      </c>
      <c r="L16" s="13">
        <f>IF(J16&gt;0,K16*J16*100,0)</f>
        <v/>
      </c>
      <c r="M16" s="13">
        <f>IF(J16&lt;0,K16*-J16*100,0)</f>
        <v/>
      </c>
      <c r="N16" s="13">
        <f>MAX($H$2-A16,0)</f>
        <v/>
      </c>
      <c r="O16" s="13">
        <f>N16*J16*100</f>
        <v/>
      </c>
      <c r="P16" s="13">
        <f>O16-L16+M16</f>
        <v/>
      </c>
    </row>
    <row r="17">
      <c r="A17" s="13" t="n">
        <v>100</v>
      </c>
      <c r="B17" s="13" t="n">
        <v>19.15</v>
      </c>
      <c r="C17" s="13" t="n">
        <v>20.8</v>
      </c>
      <c r="D17" s="13" t="n">
        <v>21.36</v>
      </c>
      <c r="E17" s="13" t="n">
        <v>19.975</v>
      </c>
      <c r="F17" s="14" t="n">
        <v>14</v>
      </c>
      <c r="G17" s="14" t="n">
        <v>819</v>
      </c>
      <c r="H17" s="15" t="n">
        <v>0.5825237060546875</v>
      </c>
      <c r="I17" s="16" t="n">
        <v>0.8815371846921278</v>
      </c>
      <c r="J17" s="17" t="n">
        <v>0</v>
      </c>
      <c r="K17" s="18" t="n">
        <v>19.975</v>
      </c>
      <c r="L17" s="13">
        <f>IF(J17&gt;0,K17*J17*100,0)</f>
        <v/>
      </c>
      <c r="M17" s="13">
        <f>IF(J17&lt;0,K17*-J17*100,0)</f>
        <v/>
      </c>
      <c r="N17" s="13">
        <f>MAX($H$2-A17,0)</f>
        <v/>
      </c>
      <c r="O17" s="13">
        <f>N17*J17*100</f>
        <v/>
      </c>
      <c r="P17" s="13">
        <f>O17-L17+M17</f>
        <v/>
      </c>
    </row>
    <row r="18">
      <c r="A18" s="13" t="n">
        <v>105</v>
      </c>
      <c r="B18" s="13" t="n">
        <v>15.35</v>
      </c>
      <c r="C18" s="13" t="n">
        <v>17</v>
      </c>
      <c r="D18" s="13" t="n">
        <v>15.8</v>
      </c>
      <c r="E18" s="13" t="n">
        <v>16.175</v>
      </c>
      <c r="F18" s="14" t="n">
        <v>16</v>
      </c>
      <c r="G18" s="14" t="n">
        <v>593</v>
      </c>
      <c r="H18" s="15" t="n">
        <v>0.5112353564453125</v>
      </c>
      <c r="I18" s="16" t="n">
        <v>0.8383142663565728</v>
      </c>
      <c r="J18" s="17" t="n">
        <v>0</v>
      </c>
      <c r="K18" s="18" t="n">
        <v>16.175</v>
      </c>
      <c r="L18" s="13">
        <f>IF(J18&gt;0,K18*J18*100,0)</f>
        <v/>
      </c>
      <c r="M18" s="13">
        <f>IF(J18&lt;0,K18*-J18*100,0)</f>
        <v/>
      </c>
      <c r="N18" s="13">
        <f>MAX($H$2-A18,0)</f>
        <v/>
      </c>
      <c r="O18" s="13">
        <f>N18*J18*100</f>
        <v/>
      </c>
      <c r="P18" s="13">
        <f>O18-L18+M18</f>
        <v/>
      </c>
    </row>
    <row r="19">
      <c r="A19" s="13" t="n">
        <v>110</v>
      </c>
      <c r="B19" s="13" t="n">
        <v>12.45</v>
      </c>
      <c r="C19" s="13" t="n">
        <v>13.05</v>
      </c>
      <c r="D19" s="13" t="n">
        <v>13</v>
      </c>
      <c r="E19" s="13" t="n">
        <v>12.75</v>
      </c>
      <c r="F19" s="14" t="n">
        <v>29</v>
      </c>
      <c r="G19" s="14" t="n">
        <v>907</v>
      </c>
      <c r="H19" s="15" t="n">
        <v>0.5329636547851562</v>
      </c>
      <c r="I19" s="16" t="n">
        <v>0.740091789371597</v>
      </c>
      <c r="J19" s="17" t="n">
        <v>0</v>
      </c>
      <c r="K19" s="18" t="n">
        <v>12.75</v>
      </c>
      <c r="L19" s="13">
        <f>IF(J19&gt;0,K19*J19*100,0)</f>
        <v/>
      </c>
      <c r="M19" s="13">
        <f>IF(J19&lt;0,K19*-J19*100,0)</f>
        <v/>
      </c>
      <c r="N19" s="13">
        <f>MAX($H$2-A19,0)</f>
        <v/>
      </c>
      <c r="O19" s="13">
        <f>N19*J19*100</f>
        <v/>
      </c>
      <c r="P19" s="13">
        <f>O19-L19+M19</f>
        <v/>
      </c>
    </row>
    <row r="20">
      <c r="A20" s="13" t="n">
        <v>115</v>
      </c>
      <c r="B20" s="13" t="n">
        <v>8.85</v>
      </c>
      <c r="C20" s="13" t="n">
        <v>9.9</v>
      </c>
      <c r="D20" s="13" t="n">
        <v>9.33</v>
      </c>
      <c r="E20" s="13" t="n">
        <v>9.375</v>
      </c>
      <c r="F20" s="14" t="n">
        <v>38</v>
      </c>
      <c r="G20" s="14" t="n">
        <v>2427</v>
      </c>
      <c r="H20" s="15" t="n">
        <v>0.5118457019042968</v>
      </c>
      <c r="I20" s="16" t="n">
        <v>0.6390812651723199</v>
      </c>
      <c r="J20" s="17" t="n">
        <v>0</v>
      </c>
      <c r="K20" s="18" t="n">
        <v>9.375</v>
      </c>
      <c r="L20" s="13">
        <f>IF(J20&gt;0,K20*J20*100,0)</f>
        <v/>
      </c>
      <c r="M20" s="13">
        <f>IF(J20&lt;0,K20*-J20*100,0)</f>
        <v/>
      </c>
      <c r="N20" s="13">
        <f>MAX($H$2-A20,0)</f>
        <v/>
      </c>
      <c r="O20" s="13">
        <f>N20*J20*100</f>
        <v/>
      </c>
      <c r="P20" s="13">
        <f>O20-L20+M20</f>
        <v/>
      </c>
    </row>
    <row r="21">
      <c r="A21" s="13" t="n">
        <v>120</v>
      </c>
      <c r="B21" s="13" t="n">
        <v>6.6</v>
      </c>
      <c r="C21" s="13" t="n">
        <v>7.4</v>
      </c>
      <c r="D21" s="13" t="n">
        <v>6.85</v>
      </c>
      <c r="E21" s="13" t="n">
        <v>7</v>
      </c>
      <c r="F21" s="14" t="n">
        <v>151</v>
      </c>
      <c r="G21" s="14" t="n">
        <v>3146</v>
      </c>
      <c r="H21" s="15" t="n">
        <v>0.5255174401855469</v>
      </c>
      <c r="I21" s="16" t="n">
        <v>0.5252087917045479</v>
      </c>
      <c r="J21" s="17" t="n">
        <v>0</v>
      </c>
      <c r="K21" s="18" t="n">
        <v>7</v>
      </c>
      <c r="L21" s="13">
        <f>IF(J21&gt;0,K21*J21*100,0)</f>
        <v/>
      </c>
      <c r="M21" s="13">
        <f>IF(J21&lt;0,K21*-J21*100,0)</f>
        <v/>
      </c>
      <c r="N21" s="13">
        <f>MAX($H$2-A21,0)</f>
        <v/>
      </c>
      <c r="O21" s="13">
        <f>N21*J21*100</f>
        <v/>
      </c>
      <c r="P21" s="13">
        <f>O21-L21+M21</f>
        <v/>
      </c>
    </row>
    <row r="22">
      <c r="A22" s="13" t="n">
        <v>125</v>
      </c>
      <c r="B22" s="13" t="n">
        <v>4.55</v>
      </c>
      <c r="C22" s="13" t="n">
        <v>5.5</v>
      </c>
      <c r="D22" s="13" t="n">
        <v>5</v>
      </c>
      <c r="E22" s="13" t="n">
        <v>5.025</v>
      </c>
      <c r="F22" s="14" t="n">
        <v>140</v>
      </c>
      <c r="G22" s="14" t="n">
        <v>1592</v>
      </c>
      <c r="H22" s="15" t="n">
        <v>0.5286912365722658</v>
      </c>
      <c r="I22" s="16" t="n">
        <v>0.4167610777851012</v>
      </c>
      <c r="J22" s="17" t="n">
        <v>0</v>
      </c>
      <c r="K22" s="18" t="n">
        <v>5.025</v>
      </c>
      <c r="L22" s="13">
        <f>IF(J22&gt;0,K22*J22*100,0)</f>
        <v/>
      </c>
      <c r="M22" s="13">
        <f>IF(J22&lt;0,K22*-J22*100,0)</f>
        <v/>
      </c>
      <c r="N22" s="13">
        <f>MAX($H$2-A22,0)</f>
        <v/>
      </c>
      <c r="O22" s="13">
        <f>N22*J22*100</f>
        <v/>
      </c>
      <c r="P22" s="13">
        <f>O22-L22+M22</f>
        <v/>
      </c>
    </row>
    <row r="23">
      <c r="A23" s="13" t="n">
        <v>130</v>
      </c>
      <c r="B23" s="13" t="n">
        <v>3.6</v>
      </c>
      <c r="C23" s="13" t="n">
        <v>3.8</v>
      </c>
      <c r="D23" s="13" t="n">
        <v>3.6</v>
      </c>
      <c r="E23" s="13" t="n">
        <v>3.7</v>
      </c>
      <c r="F23" s="14" t="n">
        <v>162</v>
      </c>
      <c r="G23" s="14" t="n">
        <v>3160</v>
      </c>
      <c r="H23" s="15" t="n">
        <v>0.5459029785156251</v>
      </c>
      <c r="I23" s="16" t="n">
        <v>0.3250327045833072</v>
      </c>
      <c r="J23" s="17" t="n">
        <v>0</v>
      </c>
      <c r="K23" s="18" t="n">
        <v>3.7</v>
      </c>
      <c r="L23" s="13">
        <f>IF(J23&gt;0,K23*J23*100,0)</f>
        <v/>
      </c>
      <c r="M23" s="13">
        <f>IF(J23&lt;0,K23*-J23*100,0)</f>
        <v/>
      </c>
      <c r="N23" s="13">
        <f>MAX($H$2-A23,0)</f>
        <v/>
      </c>
      <c r="O23" s="13">
        <f>N23*J23*100</f>
        <v/>
      </c>
      <c r="P23" s="13">
        <f>O23-L23+M23</f>
        <v/>
      </c>
    </row>
    <row r="24">
      <c r="A24" s="13" t="n">
        <v>135</v>
      </c>
      <c r="B24" s="13" t="n">
        <v>2.49</v>
      </c>
      <c r="C24" s="13" t="n">
        <v>2.6</v>
      </c>
      <c r="D24" s="13" t="n">
        <v>2.49</v>
      </c>
      <c r="E24" s="13" t="n">
        <v>2.545</v>
      </c>
      <c r="F24" s="14" t="n">
        <v>299</v>
      </c>
      <c r="G24" s="14" t="n">
        <v>423</v>
      </c>
      <c r="H24" s="15" t="n">
        <v>0.5461471166992189</v>
      </c>
      <c r="I24" s="16" t="n">
        <v>0.2424146965546684</v>
      </c>
      <c r="J24" s="17" t="n">
        <v>0</v>
      </c>
      <c r="K24" s="18" t="n">
        <v>2.545</v>
      </c>
      <c r="L24" s="13">
        <f>IF(J24&gt;0,K24*J24*100,0)</f>
        <v/>
      </c>
      <c r="M24" s="13">
        <f>IF(J24&lt;0,K24*-J24*100,0)</f>
        <v/>
      </c>
      <c r="N24" s="13">
        <f>MAX($H$2-A24,0)</f>
        <v/>
      </c>
      <c r="O24" s="13">
        <f>N24*J24*100</f>
        <v/>
      </c>
      <c r="P24" s="13">
        <f>O24-L24+M24</f>
        <v/>
      </c>
    </row>
    <row r="25">
      <c r="A25" s="13" t="n">
        <v>140</v>
      </c>
      <c r="B25" s="13" t="n">
        <v>1.5</v>
      </c>
      <c r="C25" s="13" t="n">
        <v>1.97</v>
      </c>
      <c r="D25" s="13" t="n">
        <v>1.79</v>
      </c>
      <c r="E25" s="13" t="n">
        <v>1.735</v>
      </c>
      <c r="F25" s="14" t="n">
        <v>2</v>
      </c>
      <c r="G25" s="14" t="n">
        <v>1181</v>
      </c>
      <c r="H25" s="15" t="n">
        <v>0.549076774902344</v>
      </c>
      <c r="I25" s="16" t="n">
        <v>0.1764485079136907</v>
      </c>
      <c r="J25" s="17" t="n">
        <v>0</v>
      </c>
      <c r="K25" s="18" t="n">
        <v>1.735</v>
      </c>
      <c r="L25" s="13">
        <f>IF(J25&gt;0,K25*J25*100,0)</f>
        <v/>
      </c>
      <c r="M25" s="13">
        <f>IF(J25&lt;0,K25*-J25*100,0)</f>
        <v/>
      </c>
      <c r="N25" s="13">
        <f>MAX($H$2-A25,0)</f>
        <v/>
      </c>
      <c r="O25" s="13">
        <f>N25*J25*100</f>
        <v/>
      </c>
      <c r="P25" s="13">
        <f>O25-L25+M25</f>
        <v/>
      </c>
    </row>
    <row r="26">
      <c r="A26" s="13" t="n">
        <v>145</v>
      </c>
      <c r="B26" s="13" t="n">
        <v>0.95</v>
      </c>
      <c r="C26" s="13" t="n">
        <v>1.41</v>
      </c>
      <c r="D26" s="13" t="n">
        <v>1.2</v>
      </c>
      <c r="E26" s="13" t="n">
        <v>1.18</v>
      </c>
      <c r="F26" s="14" t="n">
        <v>15</v>
      </c>
      <c r="G26" s="14" t="n">
        <v>109</v>
      </c>
      <c r="H26" s="15" t="n">
        <v>0.5542036767578126</v>
      </c>
      <c r="I26" s="16" t="n">
        <v>0.1263973874887584</v>
      </c>
      <c r="J26" s="17" t="n">
        <v>0</v>
      </c>
      <c r="K26" s="18" t="n">
        <v>1.18</v>
      </c>
      <c r="L26" s="13">
        <f>IF(J26&gt;0,K26*J26*100,0)</f>
        <v/>
      </c>
      <c r="M26" s="13">
        <f>IF(J26&lt;0,K26*-J26*100,0)</f>
        <v/>
      </c>
      <c r="N26" s="13">
        <f>MAX($H$2-A26,0)</f>
        <v/>
      </c>
      <c r="O26" s="13">
        <f>N26*J26*100</f>
        <v/>
      </c>
      <c r="P26" s="13">
        <f>O26-L26+M26</f>
        <v/>
      </c>
    </row>
  </sheetData>
  <conditionalFormatting sqref="P6:P2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3">
    <cfRule type="cellIs" priority="9" operator="greaterThan" dxfId="2">
      <formula>0</formula>
    </cfRule>
    <cfRule type="cellIs" priority="10" operator="less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8" customWidth="1" min="10" max="10"/>
    <col width="8" customWidth="1" min="11" max="11"/>
    <col width="10" customWidth="1" min="12" max="12"/>
    <col width="10" customWidth="1" min="13" max="13"/>
    <col width="9" customWidth="1" min="14" max="14"/>
    <col width="10" customWidth="1" min="15" max="15"/>
    <col width="10" customWidth="1" min="16" max="16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</t>
        </is>
      </c>
      <c r="F1" s="1" t="inlineStr">
        <is>
          <t>Current Price</t>
        </is>
      </c>
      <c r="H1" s="2" t="inlineStr">
        <is>
          <t>Stock @ Expiry</t>
        </is>
      </c>
      <c r="J1" s="2" t="inlineStr">
        <is>
          <t>Stock Shares</t>
        </is>
      </c>
      <c r="K1" s="2" t="inlineStr">
        <is>
          <t>Stock Entry</t>
        </is>
      </c>
      <c r="L1" s="2" t="inlineStr">
        <is>
          <t>Stock P&amp;L</t>
        </is>
      </c>
    </row>
    <row r="2">
      <c r="B2" s="3" t="inlineStr">
        <is>
          <t>CCJ</t>
        </is>
      </c>
      <c r="C2" s="3" t="inlineStr">
        <is>
          <t>2026-02-20</t>
        </is>
      </c>
      <c r="D2" s="3" t="n">
        <v>29</v>
      </c>
      <c r="F2" s="4" t="n">
        <v>119.38</v>
      </c>
      <c r="H2" s="5" t="n">
        <v>119.38</v>
      </c>
      <c r="J2" s="6" t="n">
        <v>0</v>
      </c>
      <c r="K2" s="5" t="n">
        <v>119.38</v>
      </c>
      <c r="L2" s="7">
        <f>(H2-K2)*J2</f>
        <v/>
      </c>
    </row>
    <row r="3">
      <c r="A3" s="8" t="inlineStr">
        <is>
          <t>SUMMARY</t>
        </is>
      </c>
      <c r="B3" s="9" t="inlineStr">
        <is>
          <t>Premiums Paid:</t>
        </is>
      </c>
      <c r="C3" s="10">
        <f>SUM(L6:L22)</f>
        <v/>
      </c>
      <c r="D3" s="9" t="inlineStr">
        <is>
          <t>Premiums Rcvd:</t>
        </is>
      </c>
      <c r="E3" s="10">
        <f>SUM(M6:M22)</f>
        <v/>
      </c>
      <c r="F3" s="9" t="inlineStr">
        <is>
          <t>Options Payout:</t>
        </is>
      </c>
      <c r="G3" s="10">
        <f>SUM(O6:O22)</f>
        <v/>
      </c>
      <c r="H3" s="9" t="inlineStr">
        <is>
          <t>Options P&amp;L:</t>
        </is>
      </c>
      <c r="I3" s="10">
        <f>SUM(P6:P22)</f>
        <v/>
      </c>
      <c r="J3" s="9" t="inlineStr">
        <is>
          <t>Stock P&amp;L:</t>
        </is>
      </c>
      <c r="K3" s="10">
        <f>L2</f>
        <v/>
      </c>
      <c r="L3" s="11" t="inlineStr">
        <is>
          <t>TOTAL P&amp;L:</t>
        </is>
      </c>
      <c r="M3" s="12">
        <f>I3+K3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</t>
        </is>
      </c>
      <c r="L5" s="2" t="inlineStr">
        <is>
          <t>Prem Paid</t>
        </is>
      </c>
      <c r="M5" s="2" t="inlineStr">
        <is>
          <t>Prem Rcvd</t>
        </is>
      </c>
      <c r="N5" s="2" t="inlineStr">
        <is>
          <t>Val@Exp</t>
        </is>
      </c>
      <c r="O5" s="2" t="inlineStr">
        <is>
          <t>Payout</t>
        </is>
      </c>
      <c r="P5" s="2" t="inlineStr">
        <is>
          <t>P&amp;L</t>
        </is>
      </c>
    </row>
    <row r="6">
      <c r="A6" s="13" t="n">
        <v>50</v>
      </c>
      <c r="B6" s="13" t="n">
        <v>0</v>
      </c>
      <c r="C6" s="13" t="n">
        <v>0.25</v>
      </c>
      <c r="D6" s="13" t="n">
        <v>0.04</v>
      </c>
      <c r="E6" s="13" t="n">
        <v>0.04</v>
      </c>
      <c r="F6" s="14" t="n">
        <v>1</v>
      </c>
      <c r="G6" s="14" t="n">
        <v>6</v>
      </c>
      <c r="H6" s="15" t="n">
        <v>1.328128359375</v>
      </c>
      <c r="I6" s="16" t="n">
        <v>-0.005843577799613087</v>
      </c>
      <c r="J6" s="17" t="n">
        <v>0</v>
      </c>
      <c r="K6" s="18" t="n">
        <v>0.04</v>
      </c>
      <c r="L6" s="13">
        <f>IF(J6&gt;0,K6*J6*100,0)</f>
        <v/>
      </c>
      <c r="M6" s="13">
        <f>IF(J6&lt;0,K6*-J6*100,0)</f>
        <v/>
      </c>
      <c r="N6" s="13">
        <f>MAX(A6-$H$2,0)</f>
        <v/>
      </c>
      <c r="O6" s="13">
        <f>N6*J6*100</f>
        <v/>
      </c>
      <c r="P6" s="13">
        <f>O6-L6+M6</f>
        <v/>
      </c>
    </row>
    <row r="7">
      <c r="A7" s="13" t="n">
        <v>55</v>
      </c>
      <c r="B7" s="13" t="n">
        <v>0</v>
      </c>
      <c r="C7" s="13" t="n">
        <v>2.13</v>
      </c>
      <c r="D7" s="13" t="n">
        <v>0.19</v>
      </c>
      <c r="E7" s="13" t="n">
        <v>0.19</v>
      </c>
      <c r="F7" s="14" t="n">
        <v>1</v>
      </c>
      <c r="G7" s="14" t="n">
        <v>15</v>
      </c>
      <c r="H7" s="15" t="n">
        <v>1.7265638671875</v>
      </c>
      <c r="I7" s="16" t="n">
        <v>-0.03265792014327007</v>
      </c>
      <c r="J7" s="17" t="n">
        <v>0</v>
      </c>
      <c r="K7" s="18" t="n">
        <v>0.19</v>
      </c>
      <c r="L7" s="13">
        <f>IF(J7&gt;0,K7*J7*100,0)</f>
        <v/>
      </c>
      <c r="M7" s="13">
        <f>IF(J7&lt;0,K7*-J7*100,0)</f>
        <v/>
      </c>
      <c r="N7" s="13">
        <f>MAX(A7-$H$2,0)</f>
        <v/>
      </c>
      <c r="O7" s="13">
        <f>N7*J7*100</f>
        <v/>
      </c>
      <c r="P7" s="13">
        <f>O7-L7+M7</f>
        <v/>
      </c>
    </row>
    <row r="8">
      <c r="A8" s="13" t="n">
        <v>60</v>
      </c>
      <c r="B8" s="13" t="n">
        <v>0</v>
      </c>
      <c r="C8" s="13" t="n">
        <v>1.89</v>
      </c>
      <c r="D8" s="13" t="n">
        <v>0.05</v>
      </c>
      <c r="E8" s="13" t="n">
        <v>0.05</v>
      </c>
      <c r="F8" s="14" t="n">
        <v>16</v>
      </c>
      <c r="G8" s="14" t="n">
        <v>17</v>
      </c>
      <c r="H8" s="15" t="n">
        <v>1.516603979492187</v>
      </c>
      <c r="I8" s="16" t="n">
        <v>-0.03351819983538129</v>
      </c>
      <c r="J8" s="17" t="n">
        <v>0</v>
      </c>
      <c r="K8" s="18" t="n">
        <v>0.05</v>
      </c>
      <c r="L8" s="13">
        <f>IF(J8&gt;0,K8*J8*100,0)</f>
        <v/>
      </c>
      <c r="M8" s="13">
        <f>IF(J8&lt;0,K8*-J8*100,0)</f>
        <v/>
      </c>
      <c r="N8" s="13">
        <f>MAX(A8-$H$2,0)</f>
        <v/>
      </c>
      <c r="O8" s="13">
        <f>N8*J8*100</f>
        <v/>
      </c>
      <c r="P8" s="13">
        <f>O8-L8+M8</f>
        <v/>
      </c>
    </row>
    <row r="9">
      <c r="A9" s="13" t="n">
        <v>65</v>
      </c>
      <c r="B9" s="13" t="n">
        <v>0</v>
      </c>
      <c r="C9" s="13" t="n">
        <v>0.35</v>
      </c>
      <c r="D9" s="13" t="n">
        <v>0.17</v>
      </c>
      <c r="E9" s="13" t="n">
        <v>0.17</v>
      </c>
      <c r="F9" s="14" t="n">
        <v>2</v>
      </c>
      <c r="G9" s="14" t="n">
        <v>53</v>
      </c>
      <c r="H9" s="15" t="n">
        <v>1.00391123046875</v>
      </c>
      <c r="I9" s="16" t="n">
        <v>-0.01065474067888594</v>
      </c>
      <c r="J9" s="17" t="n">
        <v>0</v>
      </c>
      <c r="K9" s="18" t="n">
        <v>0.17</v>
      </c>
      <c r="L9" s="13">
        <f>IF(J9&gt;0,K9*J9*100,0)</f>
        <v/>
      </c>
      <c r="M9" s="13">
        <f>IF(J9&lt;0,K9*-J9*100,0)</f>
        <v/>
      </c>
      <c r="N9" s="13">
        <f>MAX(A9-$H$2,0)</f>
        <v/>
      </c>
      <c r="O9" s="13">
        <f>N9*J9*100</f>
        <v/>
      </c>
      <c r="P9" s="13">
        <f>O9-L9+M9</f>
        <v/>
      </c>
    </row>
    <row r="10">
      <c r="A10" s="13" t="n">
        <v>70</v>
      </c>
      <c r="B10" s="13" t="n">
        <v>0</v>
      </c>
      <c r="C10" s="13" t="n">
        <v>0.15</v>
      </c>
      <c r="D10" s="13" t="n">
        <v>0.07000000000000001</v>
      </c>
      <c r="E10" s="13" t="n">
        <v>0.07000000000000001</v>
      </c>
      <c r="F10" s="14" t="n">
        <v>1</v>
      </c>
      <c r="G10" s="14" t="n">
        <v>310</v>
      </c>
      <c r="H10" s="15" t="n">
        <v>0.7929708203125</v>
      </c>
      <c r="I10" s="16" t="n">
        <v>-0.005934468057324005</v>
      </c>
      <c r="J10" s="17" t="n">
        <v>0</v>
      </c>
      <c r="K10" s="18" t="n">
        <v>0.07000000000000001</v>
      </c>
      <c r="L10" s="13">
        <f>IF(J10&gt;0,K10*J10*100,0)</f>
        <v/>
      </c>
      <c r="M10" s="13">
        <f>IF(J10&lt;0,K10*-J10*100,0)</f>
        <v/>
      </c>
      <c r="N10" s="13">
        <f>MAX(A10-$H$2,0)</f>
        <v/>
      </c>
      <c r="O10" s="13">
        <f>N10*J10*100</f>
        <v/>
      </c>
      <c r="P10" s="13">
        <f>O10-L10+M10</f>
        <v/>
      </c>
    </row>
    <row r="11">
      <c r="A11" s="13" t="n">
        <v>75</v>
      </c>
      <c r="B11" s="13" t="n">
        <v>0.07000000000000001</v>
      </c>
      <c r="C11" s="13" t="n">
        <v>0.17</v>
      </c>
      <c r="D11" s="13" t="n">
        <v>0.12</v>
      </c>
      <c r="E11" s="13" t="n">
        <v>0.12</v>
      </c>
      <c r="F11" s="14" t="n">
        <v>1</v>
      </c>
      <c r="G11" s="14" t="n">
        <v>9055</v>
      </c>
      <c r="H11" s="15" t="n">
        <v>0.7460962890625</v>
      </c>
      <c r="I11" s="16" t="n">
        <v>-0.009839849408895818</v>
      </c>
      <c r="J11" s="17" t="n">
        <v>0</v>
      </c>
      <c r="K11" s="18" t="n">
        <v>0.12</v>
      </c>
      <c r="L11" s="13">
        <f>IF(J11&gt;0,K11*J11*100,0)</f>
        <v/>
      </c>
      <c r="M11" s="13">
        <f>IF(J11&lt;0,K11*-J11*100,0)</f>
        <v/>
      </c>
      <c r="N11" s="13">
        <f>MAX(A11-$H$2,0)</f>
        <v/>
      </c>
      <c r="O11" s="13">
        <f>N11*J11*100</f>
        <v/>
      </c>
      <c r="P11" s="13">
        <f>O11-L11+M11</f>
        <v/>
      </c>
    </row>
    <row r="12">
      <c r="A12" s="13" t="n">
        <v>80</v>
      </c>
      <c r="B12" s="13" t="n">
        <v>0.05</v>
      </c>
      <c r="C12" s="13" t="n">
        <v>0.25</v>
      </c>
      <c r="D12" s="13" t="n">
        <v>0.14</v>
      </c>
      <c r="E12" s="13" t="n">
        <v>0.15</v>
      </c>
      <c r="F12" s="14" t="n">
        <v>15</v>
      </c>
      <c r="G12" s="14" t="n">
        <v>851</v>
      </c>
      <c r="H12" s="15" t="n">
        <v>0.6757844921875001</v>
      </c>
      <c r="I12" s="16" t="n">
        <v>-0.01336591755477112</v>
      </c>
      <c r="J12" s="17" t="n">
        <v>0</v>
      </c>
      <c r="K12" s="18" t="n">
        <v>0.15</v>
      </c>
      <c r="L12" s="13">
        <f>IF(J12&gt;0,K12*J12*100,0)</f>
        <v/>
      </c>
      <c r="M12" s="13">
        <f>IF(J12&lt;0,K12*-J12*100,0)</f>
        <v/>
      </c>
      <c r="N12" s="13">
        <f>MAX(A12-$H$2,0)</f>
        <v/>
      </c>
      <c r="O12" s="13">
        <f>N12*J12*100</f>
        <v/>
      </c>
      <c r="P12" s="13">
        <f>O12-L12+M12</f>
        <v/>
      </c>
    </row>
    <row r="13">
      <c r="A13" s="13" t="n">
        <v>85</v>
      </c>
      <c r="B13" s="13" t="n">
        <v>0.2</v>
      </c>
      <c r="C13" s="13" t="n">
        <v>0.34</v>
      </c>
      <c r="D13" s="13" t="n">
        <v>0.28</v>
      </c>
      <c r="E13" s="13" t="n">
        <v>0.27</v>
      </c>
      <c r="F13" s="14" t="n">
        <v>30</v>
      </c>
      <c r="G13" s="14" t="n">
        <v>925</v>
      </c>
      <c r="H13" s="15" t="n">
        <v>0.647464462890625</v>
      </c>
      <c r="I13" s="16" t="n">
        <v>-0.02430647444645695</v>
      </c>
      <c r="J13" s="17" t="n">
        <v>0</v>
      </c>
      <c r="K13" s="18" t="n">
        <v>0.27</v>
      </c>
      <c r="L13" s="13">
        <f>IF(J13&gt;0,K13*J13*100,0)</f>
        <v/>
      </c>
      <c r="M13" s="13">
        <f>IF(J13&lt;0,K13*-J13*100,0)</f>
        <v/>
      </c>
      <c r="N13" s="13">
        <f>MAX(A13-$H$2,0)</f>
        <v/>
      </c>
      <c r="O13" s="13">
        <f>N13*J13*100</f>
        <v/>
      </c>
      <c r="P13" s="13">
        <f>O13-L13+M13</f>
        <v/>
      </c>
    </row>
    <row r="14">
      <c r="A14" s="13" t="n">
        <v>90</v>
      </c>
      <c r="B14" s="13" t="n">
        <v>0.35</v>
      </c>
      <c r="C14" s="13" t="n">
        <v>0.48</v>
      </c>
      <c r="D14" s="13" t="n">
        <v>0.44</v>
      </c>
      <c r="E14" s="13" t="n">
        <v>0.415</v>
      </c>
      <c r="F14" s="14" t="n">
        <v>45</v>
      </c>
      <c r="G14" s="14" t="n">
        <v>1784</v>
      </c>
      <c r="H14" s="15" t="n">
        <v>0.6030313134765627</v>
      </c>
      <c r="I14" s="16" t="n">
        <v>-0.0385291296410103</v>
      </c>
      <c r="J14" s="17" t="n">
        <v>0</v>
      </c>
      <c r="K14" s="18" t="n">
        <v>0.415</v>
      </c>
      <c r="L14" s="13">
        <f>IF(J14&gt;0,K14*J14*100,0)</f>
        <v/>
      </c>
      <c r="M14" s="13">
        <f>IF(J14&lt;0,K14*-J14*100,0)</f>
        <v/>
      </c>
      <c r="N14" s="13">
        <f>MAX(A14-$H$2,0)</f>
        <v/>
      </c>
      <c r="O14" s="13">
        <f>N14*J14*100</f>
        <v/>
      </c>
      <c r="P14" s="13">
        <f>O14-L14+M14</f>
        <v/>
      </c>
    </row>
    <row r="15">
      <c r="A15" s="13" t="n">
        <v>95</v>
      </c>
      <c r="B15" s="13" t="n">
        <v>0.64</v>
      </c>
      <c r="C15" s="13" t="n">
        <v>1.01</v>
      </c>
      <c r="D15" s="13" t="n">
        <v>0.82</v>
      </c>
      <c r="E15" s="13" t="n">
        <v>0.825</v>
      </c>
      <c r="F15" s="14" t="n">
        <v>12</v>
      </c>
      <c r="G15" s="14" t="n">
        <v>635</v>
      </c>
      <c r="H15" s="15" t="n">
        <v>0.5981485498046876</v>
      </c>
      <c r="I15" s="16" t="n">
        <v>-0.07209200695156015</v>
      </c>
      <c r="J15" s="17" t="n">
        <v>0</v>
      </c>
      <c r="K15" s="18" t="n">
        <v>0.825</v>
      </c>
      <c r="L15" s="13">
        <f>IF(J15&gt;0,K15*J15*100,0)</f>
        <v/>
      </c>
      <c r="M15" s="13">
        <f>IF(J15&lt;0,K15*-J15*100,0)</f>
        <v/>
      </c>
      <c r="N15" s="13">
        <f>MAX(A15-$H$2,0)</f>
        <v/>
      </c>
      <c r="O15" s="13">
        <f>N15*J15*100</f>
        <v/>
      </c>
      <c r="P15" s="13">
        <f>O15-L15+M15</f>
        <v/>
      </c>
    </row>
    <row r="16">
      <c r="A16" s="13" t="n">
        <v>100</v>
      </c>
      <c r="B16" s="13" t="n">
        <v>1.2</v>
      </c>
      <c r="C16" s="13" t="n">
        <v>1.53</v>
      </c>
      <c r="D16" s="13" t="n">
        <v>1.36</v>
      </c>
      <c r="E16" s="13" t="n">
        <v>1.365</v>
      </c>
      <c r="F16" s="14" t="n">
        <v>40</v>
      </c>
      <c r="G16" s="14" t="n">
        <v>1784</v>
      </c>
      <c r="H16" s="15" t="n">
        <v>0.5751995605468749</v>
      </c>
      <c r="I16" s="16" t="n">
        <v>-0.1159091321235802</v>
      </c>
      <c r="J16" s="17" t="n">
        <v>0</v>
      </c>
      <c r="K16" s="18" t="n">
        <v>1.365</v>
      </c>
      <c r="L16" s="13">
        <f>IF(J16&gt;0,K16*J16*100,0)</f>
        <v/>
      </c>
      <c r="M16" s="13">
        <f>IF(J16&lt;0,K16*-J16*100,0)</f>
        <v/>
      </c>
      <c r="N16" s="13">
        <f>MAX(A16-$H$2,0)</f>
        <v/>
      </c>
      <c r="O16" s="13">
        <f>N16*J16*100</f>
        <v/>
      </c>
      <c r="P16" s="13">
        <f>O16-L16+M16</f>
        <v/>
      </c>
    </row>
    <row r="17">
      <c r="A17" s="13" t="n">
        <v>105</v>
      </c>
      <c r="B17" s="13" t="n">
        <v>2</v>
      </c>
      <c r="C17" s="13" t="n">
        <v>2.54</v>
      </c>
      <c r="D17" s="13" t="n">
        <v>2.27</v>
      </c>
      <c r="E17" s="13" t="n">
        <v>2.27</v>
      </c>
      <c r="F17" s="14" t="n">
        <v>138</v>
      </c>
      <c r="G17" s="14" t="n">
        <v>1575</v>
      </c>
      <c r="H17" s="15" t="n">
        <v>0.5627485131835939</v>
      </c>
      <c r="I17" s="16" t="n">
        <v>-0.1811451287084549</v>
      </c>
      <c r="J17" s="17" t="n">
        <v>0</v>
      </c>
      <c r="K17" s="18" t="n">
        <v>2.27</v>
      </c>
      <c r="L17" s="13">
        <f>IF(J17&gt;0,K17*J17*100,0)</f>
        <v/>
      </c>
      <c r="M17" s="13">
        <f>IF(J17&lt;0,K17*-J17*100,0)</f>
        <v/>
      </c>
      <c r="N17" s="13">
        <f>MAX(A17-$H$2,0)</f>
        <v/>
      </c>
      <c r="O17" s="13">
        <f>N17*J17*100</f>
        <v/>
      </c>
      <c r="P17" s="13">
        <f>O17-L17+M17</f>
        <v/>
      </c>
    </row>
    <row r="18">
      <c r="A18" s="13" t="n">
        <v>110</v>
      </c>
      <c r="B18" s="13" t="n">
        <v>3.3</v>
      </c>
      <c r="C18" s="13" t="n">
        <v>3.7</v>
      </c>
      <c r="D18" s="13" t="n">
        <v>3.67</v>
      </c>
      <c r="E18" s="13" t="n">
        <v>3.5</v>
      </c>
      <c r="F18" s="14" t="n">
        <v>418</v>
      </c>
      <c r="G18" s="14" t="n">
        <v>447</v>
      </c>
      <c r="H18" s="15" t="n">
        <v>0.5441940112304688</v>
      </c>
      <c r="I18" s="16" t="n">
        <v>-0.263210469508369</v>
      </c>
      <c r="J18" s="17" t="n">
        <v>0</v>
      </c>
      <c r="K18" s="18" t="n">
        <v>3.5</v>
      </c>
      <c r="L18" s="13">
        <f>IF(J18&gt;0,K18*J18*100,0)</f>
        <v/>
      </c>
      <c r="M18" s="13">
        <f>IF(J18&lt;0,K18*-J18*100,0)</f>
        <v/>
      </c>
      <c r="N18" s="13">
        <f>MAX(A18-$H$2,0)</f>
        <v/>
      </c>
      <c r="O18" s="13">
        <f>N18*J18*100</f>
        <v/>
      </c>
      <c r="P18" s="13">
        <f>O18-L18+M18</f>
        <v/>
      </c>
    </row>
    <row r="19">
      <c r="A19" s="13" t="n">
        <v>115</v>
      </c>
      <c r="B19" s="13" t="n">
        <v>5.2</v>
      </c>
      <c r="C19" s="13" t="n">
        <v>6.1</v>
      </c>
      <c r="D19" s="13" t="n">
        <v>5.61</v>
      </c>
      <c r="E19" s="13" t="n">
        <v>5.65</v>
      </c>
      <c r="F19" s="14" t="n">
        <v>24</v>
      </c>
      <c r="G19" s="14" t="n">
        <v>1464</v>
      </c>
      <c r="H19" s="15" t="n">
        <v>0.561527822265625</v>
      </c>
      <c r="I19" s="16" t="n">
        <v>-0.3677228262396213</v>
      </c>
      <c r="J19" s="17" t="n">
        <v>0</v>
      </c>
      <c r="K19" s="18" t="n">
        <v>5.65</v>
      </c>
      <c r="L19" s="13">
        <f>IF(J19&gt;0,K19*J19*100,0)</f>
        <v/>
      </c>
      <c r="M19" s="13">
        <f>IF(J19&lt;0,K19*-J19*100,0)</f>
        <v/>
      </c>
      <c r="N19" s="13">
        <f>MAX(A19-$H$2,0)</f>
        <v/>
      </c>
      <c r="O19" s="13">
        <f>N19*J19*100</f>
        <v/>
      </c>
      <c r="P19" s="13">
        <f>O19-L19+M19</f>
        <v/>
      </c>
    </row>
    <row r="20">
      <c r="A20" s="13" t="n">
        <v>120</v>
      </c>
      <c r="B20" s="13" t="n">
        <v>7.7</v>
      </c>
      <c r="C20" s="13" t="n">
        <v>8.699999999999999</v>
      </c>
      <c r="D20" s="13" t="n">
        <v>8.050000000000001</v>
      </c>
      <c r="E20" s="13" t="n">
        <v>8.199999999999999</v>
      </c>
      <c r="F20" s="14" t="n">
        <v>85</v>
      </c>
      <c r="G20" s="14" t="n">
        <v>33</v>
      </c>
      <c r="H20" s="15" t="n">
        <v>0.567387138671875</v>
      </c>
      <c r="I20" s="16" t="n">
        <v>-0.472124065107025</v>
      </c>
      <c r="J20" s="17" t="n">
        <v>0</v>
      </c>
      <c r="K20" s="18" t="n">
        <v>8.199999999999999</v>
      </c>
      <c r="L20" s="13">
        <f>IF(J20&gt;0,K20*J20*100,0)</f>
        <v/>
      </c>
      <c r="M20" s="13">
        <f>IF(J20&lt;0,K20*-J20*100,0)</f>
        <v/>
      </c>
      <c r="N20" s="13">
        <f>MAX(A20-$H$2,0)</f>
        <v/>
      </c>
      <c r="O20" s="13">
        <f>N20*J20*100</f>
        <v/>
      </c>
      <c r="P20" s="13">
        <f>O20-L20+M20</f>
        <v/>
      </c>
    </row>
    <row r="21">
      <c r="A21" s="13" t="n">
        <v>125</v>
      </c>
      <c r="B21" s="13" t="n">
        <v>10.55</v>
      </c>
      <c r="C21" s="13" t="n">
        <v>12</v>
      </c>
      <c r="D21" s="13" t="n">
        <v>10.94</v>
      </c>
      <c r="E21" s="13" t="n">
        <v>11.275</v>
      </c>
      <c r="F21" s="14" t="n">
        <v>8</v>
      </c>
      <c r="G21" s="14" t="n">
        <v>115</v>
      </c>
      <c r="H21" s="15" t="n">
        <v>0.5751995605468749</v>
      </c>
      <c r="I21" s="16" t="n">
        <v>-0.5716640071061746</v>
      </c>
      <c r="J21" s="17" t="n">
        <v>0</v>
      </c>
      <c r="K21" s="18" t="n">
        <v>11.275</v>
      </c>
      <c r="L21" s="13">
        <f>IF(J21&gt;0,K21*J21*100,0)</f>
        <v/>
      </c>
      <c r="M21" s="13">
        <f>IF(J21&lt;0,K21*-J21*100,0)</f>
        <v/>
      </c>
      <c r="N21" s="13">
        <f>MAX(A21-$H$2,0)</f>
        <v/>
      </c>
      <c r="O21" s="13">
        <f>N21*J21*100</f>
        <v/>
      </c>
      <c r="P21" s="13">
        <f>O21-L21+M21</f>
        <v/>
      </c>
    </row>
    <row r="22">
      <c r="A22" s="13" t="n">
        <v>130</v>
      </c>
      <c r="B22" s="13" t="n">
        <v>14</v>
      </c>
      <c r="C22" s="13" t="n">
        <v>15.45</v>
      </c>
      <c r="D22" s="13" t="n">
        <v>16.25</v>
      </c>
      <c r="E22" s="13" t="n">
        <v>14.725</v>
      </c>
      <c r="F22" s="14" t="n">
        <v>3</v>
      </c>
      <c r="G22" s="14" t="n">
        <v>6</v>
      </c>
      <c r="H22" s="15" t="n">
        <v>0.57812921875</v>
      </c>
      <c r="I22" s="16" t="n">
        <v>-0.6625936696338508</v>
      </c>
      <c r="J22" s="17" t="n">
        <v>0</v>
      </c>
      <c r="K22" s="18" t="n">
        <v>14.725</v>
      </c>
      <c r="L22" s="13">
        <f>IF(J22&gt;0,K22*J22*100,0)</f>
        <v/>
      </c>
      <c r="M22" s="13">
        <f>IF(J22&lt;0,K22*-J22*100,0)</f>
        <v/>
      </c>
      <c r="N22" s="13">
        <f>MAX(A22-$H$2,0)</f>
        <v/>
      </c>
      <c r="O22" s="13">
        <f>N22*J22*100</f>
        <v/>
      </c>
      <c r="P22" s="13">
        <f>O22-L22+M22</f>
        <v/>
      </c>
    </row>
  </sheetData>
  <conditionalFormatting sqref="P6:P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3">
    <cfRule type="cellIs" priority="9" operator="greaterThan" dxfId="2">
      <formula>0</formula>
    </cfRule>
    <cfRule type="cellIs" priority="10" operator="lessThan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Available Expirations</t>
        </is>
      </c>
    </row>
    <row r="3">
      <c r="A3" t="inlineStr">
        <is>
          <t>2026-01-23</t>
        </is>
      </c>
    </row>
    <row r="4">
      <c r="A4" t="inlineStr">
        <is>
          <t>2026-01-30</t>
        </is>
      </c>
    </row>
    <row r="5">
      <c r="A5" t="inlineStr">
        <is>
          <t>2026-02-06</t>
        </is>
      </c>
    </row>
    <row r="6">
      <c r="A6" t="inlineStr">
        <is>
          <t>2026-02-13</t>
        </is>
      </c>
    </row>
    <row r="7">
      <c r="A7" s="11" t="inlineStr">
        <is>
          <t>2026-02-20</t>
        </is>
      </c>
    </row>
    <row r="8">
      <c r="A8" t="inlineStr">
        <is>
          <t>2026-02-27</t>
        </is>
      </c>
    </row>
    <row r="9">
      <c r="A9" t="inlineStr">
        <is>
          <t>2026-03-20</t>
        </is>
      </c>
    </row>
    <row r="10">
      <c r="A10" t="inlineStr">
        <is>
          <t>2026-06-18</t>
        </is>
      </c>
    </row>
    <row r="11">
      <c r="A11" t="inlineStr">
        <is>
          <t>2026-09-18</t>
        </is>
      </c>
    </row>
    <row r="12">
      <c r="A12" t="inlineStr">
        <is>
          <t>2026-12-18</t>
        </is>
      </c>
    </row>
    <row r="13">
      <c r="A13" t="inlineStr">
        <is>
          <t>2027-01-15</t>
        </is>
      </c>
    </row>
    <row r="14">
      <c r="A14" t="inlineStr">
        <is>
          <t>2028-01-21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2026-01-21T19:09:04Z</dcterms:created>
  <dcterms:modified xsi:type="dcterms:W3CDTF">2026-01-21T19:09:04Z</dcterms:modified>
</cp:coreProperties>
</file>