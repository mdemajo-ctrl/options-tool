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Puts" sheetId="2" state="visible" r:id="rId2"/>
    <sheet name="Expi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b val="1"/>
      <color rgb="000070C0"/>
    </font>
    <font>
      <color rgb="000070C0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 to Exp</t>
        </is>
      </c>
      <c r="F1" s="1" t="inlineStr">
        <is>
          <t>Current Price</t>
        </is>
      </c>
      <c r="H1" s="2" t="inlineStr">
        <is>
          <t>Stock @ Expiry</t>
        </is>
      </c>
    </row>
    <row r="2">
      <c r="B2" s="3" t="inlineStr">
        <is>
          <t>CCJ</t>
        </is>
      </c>
      <c r="C2" s="3" t="inlineStr">
        <is>
          <t>2026-01-23</t>
        </is>
      </c>
      <c r="D2" s="3" t="n">
        <v>1</v>
      </c>
      <c r="F2" s="4" t="n">
        <v>119.19</v>
      </c>
      <c r="H2" s="5" t="n">
        <v>119.19</v>
      </c>
    </row>
    <row r="3">
      <c r="L3" s="6" t="inlineStr">
        <is>
          <t>Total P&amp;L:</t>
        </is>
      </c>
      <c r="M3" s="7">
        <f>SUM(M6:M67)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50</v>
      </c>
      <c r="B6" s="8" t="n">
        <v>66.84999999999999</v>
      </c>
      <c r="C6" s="8" t="n">
        <v>69.84999999999999</v>
      </c>
      <c r="D6" s="8" t="n">
        <v>66.05</v>
      </c>
      <c r="E6" s="8" t="n">
        <v>68.34999999999999</v>
      </c>
      <c r="F6" s="9" t="n">
        <v>5</v>
      </c>
      <c r="G6" s="9" t="n">
        <v>3</v>
      </c>
      <c r="H6" s="10" t="n">
        <v>5.566409291992187</v>
      </c>
      <c r="I6" s="11" t="n">
        <v>0.9991188959889635</v>
      </c>
      <c r="J6" s="12" t="n">
        <v>0</v>
      </c>
      <c r="K6" s="13" t="n">
        <v>68.34999999999999</v>
      </c>
      <c r="L6" s="8">
        <f>MAX($H$2-A6,0)</f>
        <v/>
      </c>
      <c r="M6" s="8">
        <f>(L6-K6)*J6*100</f>
        <v/>
      </c>
    </row>
    <row r="7">
      <c r="A7" s="8" t="n">
        <v>55</v>
      </c>
      <c r="B7" s="8" t="n">
        <v>61.85</v>
      </c>
      <c r="C7" s="8" t="n">
        <v>65.55</v>
      </c>
      <c r="D7" s="8" t="n">
        <v>35.66</v>
      </c>
      <c r="E7" s="8" t="n">
        <v>63.7</v>
      </c>
      <c r="F7" s="9" t="n">
        <v>1</v>
      </c>
      <c r="G7" s="9" t="n">
        <v>1</v>
      </c>
      <c r="H7" s="10" t="n">
        <v>5.861330798339844</v>
      </c>
      <c r="I7" s="11" t="n">
        <v>0.9962595895134785</v>
      </c>
      <c r="J7" s="12" t="n">
        <v>0</v>
      </c>
      <c r="K7" s="13" t="n">
        <v>63.7</v>
      </c>
      <c r="L7" s="8">
        <f>MAX($H$2-A7,0)</f>
        <v/>
      </c>
      <c r="M7" s="8">
        <f>(L7-K7)*J7*100</f>
        <v/>
      </c>
    </row>
    <row r="8">
      <c r="A8" s="8" t="n">
        <v>60</v>
      </c>
      <c r="B8" s="8" t="n">
        <v>56.85</v>
      </c>
      <c r="C8" s="8" t="n">
        <v>60.5</v>
      </c>
      <c r="D8" s="8" t="n">
        <v>59.95</v>
      </c>
      <c r="E8" s="8" t="n">
        <v>58.675</v>
      </c>
      <c r="F8" s="9" t="n">
        <v>2</v>
      </c>
      <c r="G8" s="9" t="n">
        <v>28</v>
      </c>
      <c r="H8" s="10" t="n">
        <v>5.242190947265625</v>
      </c>
      <c r="I8" s="11" t="n">
        <v>0.9958437966383578</v>
      </c>
      <c r="J8" s="12" t="n">
        <v>0</v>
      </c>
      <c r="K8" s="13" t="n">
        <v>58.675</v>
      </c>
      <c r="L8" s="8">
        <f>MAX($H$2-A8,0)</f>
        <v/>
      </c>
      <c r="M8" s="8">
        <f>(L8-K8)*J8*100</f>
        <v/>
      </c>
    </row>
    <row r="9">
      <c r="A9" s="8" t="n">
        <v>65</v>
      </c>
      <c r="B9" s="8" t="n">
        <v>51.85</v>
      </c>
      <c r="C9" s="8" t="n">
        <v>55.55</v>
      </c>
      <c r="D9" s="8" t="n">
        <v>32.9</v>
      </c>
      <c r="E9" s="8" t="n">
        <v>53.7</v>
      </c>
      <c r="F9" s="9" t="n">
        <v>19</v>
      </c>
      <c r="G9" s="9" t="n">
        <v>21</v>
      </c>
      <c r="H9" s="10" t="n">
        <v>4.763675920410155</v>
      </c>
      <c r="I9" s="11" t="n">
        <v>0.994719374412425</v>
      </c>
      <c r="J9" s="12" t="n">
        <v>0</v>
      </c>
      <c r="K9" s="13" t="n">
        <v>53.7</v>
      </c>
      <c r="L9" s="8">
        <f>MAX($H$2-A9,0)</f>
        <v/>
      </c>
      <c r="M9" s="8">
        <f>(L9-K9)*J9*100</f>
        <v/>
      </c>
    </row>
    <row r="10">
      <c r="A10" s="8" t="n">
        <v>70</v>
      </c>
      <c r="B10" s="8" t="n">
        <v>47.25</v>
      </c>
      <c r="C10" s="8" t="n">
        <v>50.55</v>
      </c>
      <c r="D10" s="8" t="n">
        <v>28.6</v>
      </c>
      <c r="E10" s="8" t="n">
        <v>48.9</v>
      </c>
      <c r="F10" s="9" t="n">
        <v>33</v>
      </c>
      <c r="G10" s="9" t="n">
        <v>66</v>
      </c>
      <c r="H10" s="10" t="n">
        <v>4.275395280761718</v>
      </c>
      <c r="I10" s="11" t="n">
        <v>0.9936259583494067</v>
      </c>
      <c r="J10" s="12" t="n">
        <v>0</v>
      </c>
      <c r="K10" s="13" t="n">
        <v>48.9</v>
      </c>
      <c r="L10" s="8">
        <f>MAX($H$2-A10,0)</f>
        <v/>
      </c>
      <c r="M10" s="8">
        <f>(L10-K10)*J10*100</f>
        <v/>
      </c>
    </row>
    <row r="11">
      <c r="A11" s="8" t="n">
        <v>73</v>
      </c>
      <c r="B11" s="8" t="n">
        <v>44.25</v>
      </c>
      <c r="C11" s="8" t="n">
        <v>46.85</v>
      </c>
      <c r="D11" s="8" t="n">
        <v>44.95</v>
      </c>
      <c r="E11" s="8" t="n">
        <v>45.55</v>
      </c>
      <c r="F11" s="9" t="n">
        <v>1</v>
      </c>
      <c r="G11" s="9" t="n">
        <v>36</v>
      </c>
      <c r="H11" s="10" t="n">
        <v>3.380860922851562</v>
      </c>
      <c r="I11" s="11" t="n">
        <v>0.9978790842679728</v>
      </c>
      <c r="J11" s="12" t="n">
        <v>0</v>
      </c>
      <c r="K11" s="13" t="n">
        <v>45.55</v>
      </c>
      <c r="L11" s="8">
        <f>MAX($H$2-A11,0)</f>
        <v/>
      </c>
      <c r="M11" s="8">
        <f>(L11-K11)*J11*100</f>
        <v/>
      </c>
    </row>
    <row r="12">
      <c r="A12" s="8" t="n">
        <v>74</v>
      </c>
      <c r="B12" s="8" t="n">
        <v>43.25</v>
      </c>
      <c r="C12" s="8" t="n">
        <v>45.85</v>
      </c>
      <c r="D12" s="8" t="n">
        <v>44.05</v>
      </c>
      <c r="E12" s="8" t="n">
        <v>44.55</v>
      </c>
      <c r="F12" s="9" t="n">
        <v>1</v>
      </c>
      <c r="G12" s="9" t="n">
        <v>28</v>
      </c>
      <c r="H12" s="10" t="n">
        <v>3.302736118164062</v>
      </c>
      <c r="I12" s="11" t="n">
        <v>0.9977752156820107</v>
      </c>
      <c r="J12" s="12" t="n">
        <v>0</v>
      </c>
      <c r="K12" s="13" t="n">
        <v>44.55</v>
      </c>
      <c r="L12" s="8">
        <f>MAX($H$2-A12,0)</f>
        <v/>
      </c>
      <c r="M12" s="8">
        <f>(L12-K12)*J12*100</f>
        <v/>
      </c>
    </row>
    <row r="13">
      <c r="A13" s="8" t="n">
        <v>75</v>
      </c>
      <c r="B13" s="8" t="n">
        <v>42.25</v>
      </c>
      <c r="C13" s="8" t="n">
        <v>44.85</v>
      </c>
      <c r="D13" s="8" t="n">
        <v>24.6</v>
      </c>
      <c r="E13" s="8" t="n">
        <v>43.55</v>
      </c>
      <c r="F13" s="9" t="n">
        <v>29</v>
      </c>
      <c r="G13" s="9" t="n">
        <v>54</v>
      </c>
      <c r="H13" s="10" t="n">
        <v>3.222658193359375</v>
      </c>
      <c r="I13" s="11" t="n">
        <v>0.9976817149848358</v>
      </c>
      <c r="J13" s="12" t="n">
        <v>0</v>
      </c>
      <c r="K13" s="13" t="n">
        <v>43.55</v>
      </c>
      <c r="L13" s="8">
        <f>MAX($H$2-A13,0)</f>
        <v/>
      </c>
      <c r="M13" s="8">
        <f>(L13-K13)*J13*100</f>
        <v/>
      </c>
    </row>
    <row r="14">
      <c r="A14" s="8" t="n">
        <v>77</v>
      </c>
      <c r="B14" s="8" t="n">
        <v>40.25</v>
      </c>
      <c r="C14" s="8" t="n">
        <v>42.85</v>
      </c>
      <c r="D14" s="8" t="n">
        <v>30.55</v>
      </c>
      <c r="E14" s="8" t="n">
        <v>41.55</v>
      </c>
      <c r="F14" s="9" t="n">
        <v>0</v>
      </c>
      <c r="G14" s="9" t="n">
        <v>2</v>
      </c>
      <c r="H14" s="10" t="n">
        <v>3.07031482421875</v>
      </c>
      <c r="I14" s="11" t="n">
        <v>0.9974433350116165</v>
      </c>
      <c r="J14" s="12" t="n">
        <v>0</v>
      </c>
      <c r="K14" s="13" t="n">
        <v>41.55</v>
      </c>
      <c r="L14" s="8">
        <f>MAX($H$2-A14,0)</f>
        <v/>
      </c>
      <c r="M14" s="8">
        <f>(L14-K14)*J14*100</f>
        <v/>
      </c>
    </row>
    <row r="15">
      <c r="A15" s="8" t="n">
        <v>80</v>
      </c>
      <c r="B15" s="8" t="n">
        <v>36.85</v>
      </c>
      <c r="C15" s="8" t="n">
        <v>40.55</v>
      </c>
      <c r="D15" s="8" t="n">
        <v>13.6</v>
      </c>
      <c r="E15" s="8" t="n">
        <v>38.7</v>
      </c>
      <c r="F15" s="9" t="n">
        <v>1</v>
      </c>
      <c r="G15" s="9" t="n">
        <v>0</v>
      </c>
      <c r="H15" s="10" t="n">
        <v>3.387696843261718</v>
      </c>
      <c r="I15" s="11" t="n">
        <v>0.9903008458281461</v>
      </c>
      <c r="J15" s="12" t="n">
        <v>0</v>
      </c>
      <c r="K15" s="13" t="n">
        <v>38.7</v>
      </c>
      <c r="L15" s="8">
        <f>MAX($H$2-A15,0)</f>
        <v/>
      </c>
      <c r="M15" s="8">
        <f>(L15-K15)*J15*100</f>
        <v/>
      </c>
    </row>
    <row r="16">
      <c r="A16" s="8" t="n">
        <v>81</v>
      </c>
      <c r="B16" s="8" t="n">
        <v>36</v>
      </c>
      <c r="C16" s="8" t="n">
        <v>39.45</v>
      </c>
      <c r="D16" s="8" t="n">
        <v>12.65</v>
      </c>
      <c r="E16" s="8" t="n">
        <v>37.725</v>
      </c>
      <c r="F16" s="9" t="n">
        <v>1</v>
      </c>
      <c r="G16" s="9" t="n">
        <v>0</v>
      </c>
      <c r="H16" s="10" t="n">
        <v>3.238283154296875</v>
      </c>
      <c r="I16" s="11" t="n">
        <v>0.9909694058055907</v>
      </c>
      <c r="J16" s="12" t="n">
        <v>0</v>
      </c>
      <c r="K16" s="13" t="n">
        <v>37.725</v>
      </c>
      <c r="L16" s="8">
        <f>MAX($H$2-A16,0)</f>
        <v/>
      </c>
      <c r="M16" s="8">
        <f>(L16-K16)*J16*100</f>
        <v/>
      </c>
    </row>
    <row r="17">
      <c r="A17" s="8" t="n">
        <v>82</v>
      </c>
      <c r="B17" s="8" t="n">
        <v>35.3</v>
      </c>
      <c r="C17" s="8" t="n">
        <v>37.5</v>
      </c>
      <c r="D17" s="8" t="n">
        <v>31</v>
      </c>
      <c r="E17" s="8" t="n">
        <v>36.4</v>
      </c>
      <c r="F17" s="9" t="n">
        <v>1</v>
      </c>
      <c r="G17" s="9" t="n">
        <v>6</v>
      </c>
      <c r="H17" s="10" t="n">
        <v>2.316410458984374</v>
      </c>
      <c r="I17" s="11" t="n">
        <v>0.9991731435209125</v>
      </c>
      <c r="J17" s="12" t="n">
        <v>0</v>
      </c>
      <c r="K17" s="13" t="n">
        <v>36.4</v>
      </c>
      <c r="L17" s="8">
        <f>MAX($H$2-A17,0)</f>
        <v/>
      </c>
      <c r="M17" s="8">
        <f>(L17-K17)*J17*100</f>
        <v/>
      </c>
    </row>
    <row r="18">
      <c r="A18" s="8" t="n">
        <v>83</v>
      </c>
      <c r="B18" s="8" t="n">
        <v>34.25</v>
      </c>
      <c r="C18" s="8" t="n">
        <v>36.6</v>
      </c>
      <c r="D18" s="8" t="n">
        <v>34.42</v>
      </c>
      <c r="E18" s="8" t="n">
        <v>35.425</v>
      </c>
      <c r="F18" s="9" t="n">
        <v>5</v>
      </c>
      <c r="G18" s="9" t="n">
        <v>2</v>
      </c>
      <c r="H18" s="10" t="n">
        <v>2.376957182617187</v>
      </c>
      <c r="I18" s="11" t="n">
        <v>0.9985198114067105</v>
      </c>
      <c r="J18" s="12" t="n">
        <v>0</v>
      </c>
      <c r="K18" s="13" t="n">
        <v>35.425</v>
      </c>
      <c r="L18" s="8">
        <f>MAX($H$2-A18,0)</f>
        <v/>
      </c>
      <c r="M18" s="8">
        <f>(L18-K18)*J18*100</f>
        <v/>
      </c>
    </row>
    <row r="19">
      <c r="A19" s="8" t="n">
        <v>84</v>
      </c>
      <c r="B19" s="8" t="n">
        <v>33.25</v>
      </c>
      <c r="C19" s="8" t="n">
        <v>35.6</v>
      </c>
      <c r="D19" s="8" t="n">
        <v>15.17</v>
      </c>
      <c r="E19" s="8" t="n">
        <v>34.425</v>
      </c>
      <c r="F19" s="9" t="n">
        <v>3</v>
      </c>
      <c r="G19" s="9" t="n">
        <v>5</v>
      </c>
      <c r="H19" s="10" t="n">
        <v>2.310551098632812</v>
      </c>
      <c r="I19" s="11" t="n">
        <v>0.998435042354188</v>
      </c>
      <c r="J19" s="12" t="n">
        <v>0</v>
      </c>
      <c r="K19" s="13" t="n">
        <v>34.425</v>
      </c>
      <c r="L19" s="8">
        <f>MAX($H$2-A19,0)</f>
        <v/>
      </c>
      <c r="M19" s="8">
        <f>(L19-K19)*J19*100</f>
        <v/>
      </c>
    </row>
    <row r="20">
      <c r="A20" s="8" t="n">
        <v>85</v>
      </c>
      <c r="B20" s="8" t="n">
        <v>32.3</v>
      </c>
      <c r="C20" s="8" t="n">
        <v>34.65</v>
      </c>
      <c r="D20" s="8" t="n">
        <v>33.42</v>
      </c>
      <c r="E20" s="8" t="n">
        <v>33.47499999999999</v>
      </c>
      <c r="F20" s="9" t="n">
        <v>8</v>
      </c>
      <c r="G20" s="9" t="n">
        <v>22</v>
      </c>
      <c r="H20" s="10" t="n">
        <v>2.2968792578125</v>
      </c>
      <c r="I20" s="11" t="n">
        <v>0.9979677687901471</v>
      </c>
      <c r="J20" s="12" t="n">
        <v>0</v>
      </c>
      <c r="K20" s="13" t="n">
        <v>33.47499999999999</v>
      </c>
      <c r="L20" s="8">
        <f>MAX($H$2-A20,0)</f>
        <v/>
      </c>
      <c r="M20" s="8">
        <f>(L20-K20)*J20*100</f>
        <v/>
      </c>
    </row>
    <row r="21">
      <c r="A21" s="8" t="n">
        <v>86</v>
      </c>
      <c r="B21" s="8" t="n">
        <v>31.25</v>
      </c>
      <c r="C21" s="8" t="n">
        <v>33.55</v>
      </c>
      <c r="D21" s="8" t="n">
        <v>8.140000000000001</v>
      </c>
      <c r="E21" s="8" t="n">
        <v>32.4</v>
      </c>
      <c r="F21" s="9" t="n">
        <v>1</v>
      </c>
      <c r="G21" s="9" t="n">
        <v>4</v>
      </c>
      <c r="H21" s="10" t="n">
        <v>2.1250046875</v>
      </c>
      <c r="I21" s="11" t="n">
        <v>0.9986096000226983</v>
      </c>
      <c r="J21" s="12" t="n">
        <v>0</v>
      </c>
      <c r="K21" s="13" t="n">
        <v>32.4</v>
      </c>
      <c r="L21" s="8">
        <f>MAX($H$2-A21,0)</f>
        <v/>
      </c>
      <c r="M21" s="8">
        <f>(L21-K21)*J21*100</f>
        <v/>
      </c>
    </row>
    <row r="22">
      <c r="A22" s="8" t="n">
        <v>87</v>
      </c>
      <c r="B22" s="8" t="n">
        <v>30.25</v>
      </c>
      <c r="C22" s="8" t="n">
        <v>32.6</v>
      </c>
      <c r="D22" s="8" t="n">
        <v>23.8</v>
      </c>
      <c r="E22" s="8" t="n">
        <v>31.425</v>
      </c>
      <c r="F22" s="9" t="n">
        <v>1</v>
      </c>
      <c r="G22" s="9" t="n">
        <v>12</v>
      </c>
      <c r="H22" s="10" t="n">
        <v>2.115239086914062</v>
      </c>
      <c r="I22" s="11" t="n">
        <v>0.9981333673844388</v>
      </c>
      <c r="J22" s="12" t="n">
        <v>0</v>
      </c>
      <c r="K22" s="13" t="n">
        <v>31.425</v>
      </c>
      <c r="L22" s="8">
        <f>MAX($H$2-A22,0)</f>
        <v/>
      </c>
      <c r="M22" s="8">
        <f>(L22-K22)*J22*100</f>
        <v/>
      </c>
    </row>
    <row r="23">
      <c r="A23" s="8" t="n">
        <v>88</v>
      </c>
      <c r="B23" s="8" t="n">
        <v>29.25</v>
      </c>
      <c r="C23" s="8" t="n">
        <v>31.6</v>
      </c>
      <c r="D23" s="8" t="n">
        <v>14.35</v>
      </c>
      <c r="E23" s="8" t="n">
        <v>30.425</v>
      </c>
      <c r="F23" s="9" t="n">
        <v>2</v>
      </c>
      <c r="G23" s="9" t="n">
        <v>3</v>
      </c>
      <c r="H23" s="10" t="n">
        <v>2.050786123046875</v>
      </c>
      <c r="I23" s="11" t="n">
        <v>0.9980185816545534</v>
      </c>
      <c r="J23" s="12" t="n">
        <v>0</v>
      </c>
      <c r="K23" s="13" t="n">
        <v>30.425</v>
      </c>
      <c r="L23" s="8">
        <f>MAX($H$2-A23,0)</f>
        <v/>
      </c>
      <c r="M23" s="8">
        <f>(L23-K23)*J23*100</f>
        <v/>
      </c>
    </row>
    <row r="24">
      <c r="A24" s="8" t="n">
        <v>89</v>
      </c>
      <c r="B24" s="8" t="n">
        <v>28.3</v>
      </c>
      <c r="C24" s="8" t="n">
        <v>30.6</v>
      </c>
      <c r="D24" s="8" t="n">
        <v>24.07</v>
      </c>
      <c r="E24" s="8" t="n">
        <v>29.45</v>
      </c>
      <c r="F24" s="9" t="n">
        <v>10</v>
      </c>
      <c r="G24" s="9" t="n">
        <v>26</v>
      </c>
      <c r="H24" s="10" t="n">
        <v>1.98828130859375</v>
      </c>
      <c r="I24" s="11" t="n">
        <v>0.9978803183546217</v>
      </c>
      <c r="J24" s="12" t="n">
        <v>0</v>
      </c>
      <c r="K24" s="13" t="n">
        <v>29.45</v>
      </c>
      <c r="L24" s="8">
        <f>MAX($H$2-A24,0)</f>
        <v/>
      </c>
      <c r="M24" s="8">
        <f>(L24-K24)*J24*100</f>
        <v/>
      </c>
    </row>
    <row r="25">
      <c r="A25" s="8" t="n">
        <v>90</v>
      </c>
      <c r="B25" s="8" t="n">
        <v>27.3</v>
      </c>
      <c r="C25" s="8" t="n">
        <v>29.6</v>
      </c>
      <c r="D25" s="8" t="n">
        <v>27.34</v>
      </c>
      <c r="E25" s="8" t="n">
        <v>28.45</v>
      </c>
      <c r="F25" s="9" t="n">
        <v>6</v>
      </c>
      <c r="G25" s="9" t="n">
        <v>39</v>
      </c>
      <c r="H25" s="10" t="n">
        <v>1.92578162109375</v>
      </c>
      <c r="I25" s="11" t="n">
        <v>0.9977331267973176</v>
      </c>
      <c r="J25" s="12" t="n">
        <v>0</v>
      </c>
      <c r="K25" s="13" t="n">
        <v>28.45</v>
      </c>
      <c r="L25" s="8">
        <f>MAX($H$2-A25,0)</f>
        <v/>
      </c>
      <c r="M25" s="8">
        <f>(L25-K25)*J25*100</f>
        <v/>
      </c>
    </row>
    <row r="26">
      <c r="A26" s="8" t="n">
        <v>91</v>
      </c>
      <c r="B26" s="8" t="n">
        <v>26.1</v>
      </c>
      <c r="C26" s="8" t="n">
        <v>28.6</v>
      </c>
      <c r="D26" s="8" t="n">
        <v>26.6</v>
      </c>
      <c r="E26" s="8" t="n">
        <v>27.35</v>
      </c>
      <c r="F26" s="9" t="n">
        <v>5</v>
      </c>
      <c r="G26" s="9" t="n">
        <v>4</v>
      </c>
      <c r="H26" s="10" t="n">
        <v>1.86328193359375</v>
      </c>
      <c r="I26" s="11" t="n">
        <v>0.9975763043015883</v>
      </c>
      <c r="J26" s="12" t="n">
        <v>0</v>
      </c>
      <c r="K26" s="13" t="n">
        <v>27.35</v>
      </c>
      <c r="L26" s="8">
        <f>MAX($H$2-A26,0)</f>
        <v/>
      </c>
      <c r="M26" s="8">
        <f>(L26-K26)*J26*100</f>
        <v/>
      </c>
    </row>
    <row r="27">
      <c r="A27" s="8" t="n">
        <v>92</v>
      </c>
      <c r="B27" s="8" t="n">
        <v>25.25</v>
      </c>
      <c r="C27" s="8" t="n">
        <v>27.8</v>
      </c>
      <c r="D27" s="8" t="n">
        <v>17.33</v>
      </c>
      <c r="E27" s="8" t="n">
        <v>26.525</v>
      </c>
      <c r="F27" s="9" t="n">
        <v>5</v>
      </c>
      <c r="G27" s="9" t="n">
        <v>18</v>
      </c>
      <c r="H27" s="10" t="n">
        <v>1.96875015625</v>
      </c>
      <c r="I27" s="11" t="n">
        <v>0.9948472956627341</v>
      </c>
      <c r="J27" s="12" t="n">
        <v>0</v>
      </c>
      <c r="K27" s="13" t="n">
        <v>26.525</v>
      </c>
      <c r="L27" s="8">
        <f>MAX($H$2-A27,0)</f>
        <v/>
      </c>
      <c r="M27" s="8">
        <f>(L27-K27)*J27*100</f>
        <v/>
      </c>
    </row>
    <row r="28">
      <c r="A28" s="8" t="n">
        <v>93</v>
      </c>
      <c r="B28" s="8" t="n">
        <v>24.3</v>
      </c>
      <c r="C28" s="8" t="n">
        <v>26.6</v>
      </c>
      <c r="D28" s="8" t="n">
        <v>20.26</v>
      </c>
      <c r="E28" s="8" t="n">
        <v>25.45</v>
      </c>
      <c r="F28" s="9" t="n">
        <v>2</v>
      </c>
      <c r="G28" s="9" t="n">
        <v>30</v>
      </c>
      <c r="H28" s="10" t="n">
        <v>1.740235673828125</v>
      </c>
      <c r="I28" s="11" t="n">
        <v>0.9972044644879376</v>
      </c>
      <c r="J28" s="12" t="n">
        <v>0</v>
      </c>
      <c r="K28" s="13" t="n">
        <v>25.45</v>
      </c>
      <c r="L28" s="8">
        <f>MAX($H$2-A28,0)</f>
        <v/>
      </c>
      <c r="M28" s="8">
        <f>(L28-K28)*J28*100</f>
        <v/>
      </c>
    </row>
    <row r="29">
      <c r="A29" s="8" t="n">
        <v>94</v>
      </c>
      <c r="B29" s="8" t="n">
        <v>23.25</v>
      </c>
      <c r="C29" s="8" t="n">
        <v>25.6</v>
      </c>
      <c r="D29" s="8" t="n">
        <v>16.52</v>
      </c>
      <c r="E29" s="8" t="n">
        <v>24.425</v>
      </c>
      <c r="F29" s="9" t="n">
        <v>10</v>
      </c>
      <c r="G29" s="9" t="n">
        <v>10</v>
      </c>
      <c r="H29" s="10" t="n">
        <v>1.677735986328125</v>
      </c>
      <c r="I29" s="11" t="n">
        <v>0.9970106220370569</v>
      </c>
      <c r="J29" s="12" t="n">
        <v>0</v>
      </c>
      <c r="K29" s="13" t="n">
        <v>24.425</v>
      </c>
      <c r="L29" s="8">
        <f>MAX($H$2-A29,0)</f>
        <v/>
      </c>
      <c r="M29" s="8">
        <f>(L29-K29)*J29*100</f>
        <v/>
      </c>
    </row>
    <row r="30">
      <c r="A30" s="8" t="n">
        <v>95</v>
      </c>
      <c r="B30" s="8" t="n">
        <v>22.3</v>
      </c>
      <c r="C30" s="8" t="n">
        <v>24.6</v>
      </c>
      <c r="D30" s="8" t="n">
        <v>22.98</v>
      </c>
      <c r="E30" s="8" t="n">
        <v>23.45</v>
      </c>
      <c r="F30" s="9" t="n">
        <v>11</v>
      </c>
      <c r="G30" s="9" t="n">
        <v>115</v>
      </c>
      <c r="H30" s="10" t="n">
        <v>1.6171894140625</v>
      </c>
      <c r="I30" s="11" t="n">
        <v>0.9967714698257812</v>
      </c>
      <c r="J30" s="12" t="n">
        <v>0</v>
      </c>
      <c r="K30" s="13" t="n">
        <v>23.45</v>
      </c>
      <c r="L30" s="8">
        <f>MAX($H$2-A30,0)</f>
        <v/>
      </c>
      <c r="M30" s="8">
        <f>(L30-K30)*J30*100</f>
        <v/>
      </c>
    </row>
    <row r="31">
      <c r="A31" s="8" t="n">
        <v>96</v>
      </c>
      <c r="B31" s="8" t="n">
        <v>21.3</v>
      </c>
      <c r="C31" s="8" t="n">
        <v>23.55</v>
      </c>
      <c r="D31" s="8" t="n">
        <v>22.24</v>
      </c>
      <c r="E31" s="8" t="n">
        <v>22.425</v>
      </c>
      <c r="F31" s="9" t="n">
        <v>9</v>
      </c>
      <c r="G31" s="9" t="n">
        <v>82</v>
      </c>
      <c r="H31" s="10" t="n">
        <v>1.513674306640625</v>
      </c>
      <c r="I31" s="11" t="n">
        <v>0.9972153075603716</v>
      </c>
      <c r="J31" s="12" t="n">
        <v>0</v>
      </c>
      <c r="K31" s="13" t="n">
        <v>22.425</v>
      </c>
      <c r="L31" s="8">
        <f>MAX($H$2-A31,0)</f>
        <v/>
      </c>
      <c r="M31" s="8">
        <f>(L31-K31)*J31*100</f>
        <v/>
      </c>
    </row>
    <row r="32">
      <c r="A32" s="8" t="n">
        <v>97</v>
      </c>
      <c r="B32" s="8" t="n">
        <v>20.3</v>
      </c>
      <c r="C32" s="8" t="n">
        <v>22.6</v>
      </c>
      <c r="D32" s="8" t="n">
        <v>14.2</v>
      </c>
      <c r="E32" s="8" t="n">
        <v>21.45</v>
      </c>
      <c r="F32" s="9" t="n">
        <v>2</v>
      </c>
      <c r="G32" s="9" t="n">
        <v>11</v>
      </c>
      <c r="H32" s="10" t="n">
        <v>1.497072827148437</v>
      </c>
      <c r="I32" s="11" t="n">
        <v>0.9962044305415763</v>
      </c>
      <c r="J32" s="12" t="n">
        <v>0</v>
      </c>
      <c r="K32" s="13" t="n">
        <v>21.45</v>
      </c>
      <c r="L32" s="8">
        <f>MAX($H$2-A32,0)</f>
        <v/>
      </c>
      <c r="M32" s="8">
        <f>(L32-K32)*J32*100</f>
        <v/>
      </c>
    </row>
    <row r="33">
      <c r="A33" s="8" t="n">
        <v>98</v>
      </c>
      <c r="B33" s="8" t="n">
        <v>19.3</v>
      </c>
      <c r="C33" s="8" t="n">
        <v>21.6</v>
      </c>
      <c r="D33" s="8" t="n">
        <v>16.08</v>
      </c>
      <c r="E33" s="8" t="n">
        <v>20.45</v>
      </c>
      <c r="F33" s="9" t="n">
        <v>2</v>
      </c>
      <c r="G33" s="9" t="n">
        <v>83</v>
      </c>
      <c r="H33" s="10" t="n">
        <v>1.4375028125</v>
      </c>
      <c r="I33" s="11" t="n">
        <v>0.9958653512041221</v>
      </c>
      <c r="J33" s="12" t="n">
        <v>0</v>
      </c>
      <c r="K33" s="13" t="n">
        <v>20.45</v>
      </c>
      <c r="L33" s="8">
        <f>MAX($H$2-A33,0)</f>
        <v/>
      </c>
      <c r="M33" s="8">
        <f>(L33-K33)*J33*100</f>
        <v/>
      </c>
    </row>
    <row r="34">
      <c r="A34" s="8" t="n">
        <v>99</v>
      </c>
      <c r="B34" s="8" t="n">
        <v>18.3</v>
      </c>
      <c r="C34" s="8" t="n">
        <v>20.6</v>
      </c>
      <c r="D34" s="8" t="n">
        <v>14.86</v>
      </c>
      <c r="E34" s="8" t="n">
        <v>19.45</v>
      </c>
      <c r="F34" s="9" t="n">
        <v>1</v>
      </c>
      <c r="G34" s="9" t="n">
        <v>49</v>
      </c>
      <c r="H34" s="10" t="n">
        <v>1.376956240234375</v>
      </c>
      <c r="I34" s="11" t="n">
        <v>0.9955110390092577</v>
      </c>
      <c r="J34" s="12" t="n">
        <v>0</v>
      </c>
      <c r="K34" s="13" t="n">
        <v>19.45</v>
      </c>
      <c r="L34" s="8">
        <f>MAX($H$2-A34,0)</f>
        <v/>
      </c>
      <c r="M34" s="8">
        <f>(L34-K34)*J34*100</f>
        <v/>
      </c>
    </row>
    <row r="35">
      <c r="A35" s="8" t="n">
        <v>100</v>
      </c>
      <c r="B35" s="8" t="n">
        <v>17.3</v>
      </c>
      <c r="C35" s="8" t="n">
        <v>19.6</v>
      </c>
      <c r="D35" s="8" t="n">
        <v>15.3</v>
      </c>
      <c r="E35" s="8" t="n">
        <v>18.45</v>
      </c>
      <c r="F35" s="9" t="n">
        <v>15</v>
      </c>
      <c r="G35" s="9" t="n">
        <v>108</v>
      </c>
      <c r="H35" s="10" t="n">
        <v>1.318362783203125</v>
      </c>
      <c r="I35" s="11" t="n">
        <v>0.9950634526542022</v>
      </c>
      <c r="J35" s="12" t="n">
        <v>0</v>
      </c>
      <c r="K35" s="13" t="n">
        <v>18.45</v>
      </c>
      <c r="L35" s="8">
        <f>MAX($H$2-A35,0)</f>
        <v/>
      </c>
      <c r="M35" s="8">
        <f>(L35-K35)*J35*100</f>
        <v/>
      </c>
    </row>
    <row r="36">
      <c r="A36" s="8" t="n">
        <v>101</v>
      </c>
      <c r="B36" s="8" t="n">
        <v>15.95</v>
      </c>
      <c r="C36" s="8" t="n">
        <v>18.6</v>
      </c>
      <c r="D36" s="8" t="n">
        <v>17.5</v>
      </c>
      <c r="E36" s="8" t="n">
        <v>17.275</v>
      </c>
      <c r="F36" s="9" t="n">
        <v>1</v>
      </c>
      <c r="G36" s="9" t="n">
        <v>88</v>
      </c>
      <c r="H36" s="10" t="n">
        <v>1.259769326171875</v>
      </c>
      <c r="I36" s="11" t="n">
        <v>0.9945550693835878</v>
      </c>
      <c r="J36" s="12" t="n">
        <v>0</v>
      </c>
      <c r="K36" s="13" t="n">
        <v>17.275</v>
      </c>
      <c r="L36" s="8">
        <f>MAX($H$2-A36,0)</f>
        <v/>
      </c>
      <c r="M36" s="8">
        <f>(L36-K36)*J36*100</f>
        <v/>
      </c>
    </row>
    <row r="37">
      <c r="A37" s="8" t="n">
        <v>102</v>
      </c>
      <c r="B37" s="8" t="n">
        <v>15.1</v>
      </c>
      <c r="C37" s="8" t="n">
        <v>17.6</v>
      </c>
      <c r="D37" s="8" t="n">
        <v>16.5</v>
      </c>
      <c r="E37" s="8" t="n">
        <v>16.35</v>
      </c>
      <c r="F37" s="9" t="n">
        <v>1</v>
      </c>
      <c r="G37" s="9" t="n">
        <v>28</v>
      </c>
      <c r="H37" s="10" t="n">
        <v>1.200199311523438</v>
      </c>
      <c r="I37" s="11" t="n">
        <v>0.9940071443637338</v>
      </c>
      <c r="J37" s="12" t="n">
        <v>0</v>
      </c>
      <c r="K37" s="13" t="n">
        <v>16.35</v>
      </c>
      <c r="L37" s="8">
        <f>MAX($H$2-A37,0)</f>
        <v/>
      </c>
      <c r="M37" s="8">
        <f>(L37-K37)*J37*100</f>
        <v/>
      </c>
    </row>
    <row r="38">
      <c r="A38" s="8" t="n">
        <v>103</v>
      </c>
      <c r="B38" s="8" t="n">
        <v>14.2</v>
      </c>
      <c r="C38" s="8" t="n">
        <v>16.2</v>
      </c>
      <c r="D38" s="8" t="n">
        <v>14.6</v>
      </c>
      <c r="E38" s="8" t="n">
        <v>15.2</v>
      </c>
      <c r="F38" s="9" t="n">
        <v>10</v>
      </c>
      <c r="G38" s="9" t="n">
        <v>70</v>
      </c>
      <c r="H38" s="10" t="n">
        <v>0.6250037500000001</v>
      </c>
      <c r="I38" s="11" t="n">
        <v>0.9999963149651329</v>
      </c>
      <c r="J38" s="12" t="n">
        <v>0</v>
      </c>
      <c r="K38" s="13" t="n">
        <v>15.2</v>
      </c>
      <c r="L38" s="8">
        <f>MAX($H$2-A38,0)</f>
        <v/>
      </c>
      <c r="M38" s="8">
        <f>(L38-K38)*J38*100</f>
        <v/>
      </c>
    </row>
    <row r="39">
      <c r="A39" s="8" t="n">
        <v>104</v>
      </c>
      <c r="B39" s="8" t="n">
        <v>13.1</v>
      </c>
      <c r="C39" s="8" t="n">
        <v>15.6</v>
      </c>
      <c r="D39" s="8" t="n">
        <v>14.3</v>
      </c>
      <c r="E39" s="8" t="n">
        <v>14.35</v>
      </c>
      <c r="F39" s="9" t="n">
        <v>1</v>
      </c>
      <c r="G39" s="9" t="n">
        <v>27</v>
      </c>
      <c r="H39" s="10" t="n">
        <v>1.08203583984375</v>
      </c>
      <c r="I39" s="11" t="n">
        <v>0.9926068355879801</v>
      </c>
      <c r="J39" s="12" t="n">
        <v>0</v>
      </c>
      <c r="K39" s="13" t="n">
        <v>14.35</v>
      </c>
      <c r="L39" s="8">
        <f>MAX($H$2-A39,0)</f>
        <v/>
      </c>
      <c r="M39" s="8">
        <f>(L39-K39)*J39*100</f>
        <v/>
      </c>
    </row>
    <row r="40">
      <c r="A40" s="8" t="n">
        <v>105</v>
      </c>
      <c r="B40" s="8" t="n">
        <v>11.95</v>
      </c>
      <c r="C40" s="8" t="n">
        <v>14.6</v>
      </c>
      <c r="D40" s="8" t="n">
        <v>14</v>
      </c>
      <c r="E40" s="8" t="n">
        <v>13.275</v>
      </c>
      <c r="F40" s="9" t="n">
        <v>3</v>
      </c>
      <c r="G40" s="9" t="n">
        <v>184</v>
      </c>
      <c r="H40" s="10" t="n">
        <v>1.0234423828125</v>
      </c>
      <c r="I40" s="11" t="n">
        <v>0.9916973750472118</v>
      </c>
      <c r="J40" s="12" t="n">
        <v>0</v>
      </c>
      <c r="K40" s="13" t="n">
        <v>13.275</v>
      </c>
      <c r="L40" s="8">
        <f>MAX($H$2-A40,0)</f>
        <v/>
      </c>
      <c r="M40" s="8">
        <f>(L40-K40)*J40*100</f>
        <v/>
      </c>
    </row>
    <row r="41">
      <c r="A41" s="8" t="n">
        <v>106</v>
      </c>
      <c r="B41" s="8" t="n">
        <v>11.35</v>
      </c>
      <c r="C41" s="8" t="n">
        <v>13.45</v>
      </c>
      <c r="D41" s="8" t="n">
        <v>13.05</v>
      </c>
      <c r="E41" s="8" t="n">
        <v>12.4</v>
      </c>
      <c r="F41" s="9" t="n">
        <v>1</v>
      </c>
      <c r="G41" s="9" t="n">
        <v>68</v>
      </c>
      <c r="H41" s="10" t="n">
        <v>0.8642591699218749</v>
      </c>
      <c r="I41" s="11" t="n">
        <v>0.9955761610193206</v>
      </c>
      <c r="J41" s="12" t="n">
        <v>0</v>
      </c>
      <c r="K41" s="13" t="n">
        <v>12.4</v>
      </c>
      <c r="L41" s="8">
        <f>MAX($H$2-A41,0)</f>
        <v/>
      </c>
      <c r="M41" s="8">
        <f>(L41-K41)*J41*100</f>
        <v/>
      </c>
    </row>
    <row r="42">
      <c r="A42" s="8" t="n">
        <v>107</v>
      </c>
      <c r="B42" s="8" t="n">
        <v>10.45</v>
      </c>
      <c r="C42" s="8" t="n">
        <v>12.35</v>
      </c>
      <c r="D42" s="8" t="n">
        <v>10.6</v>
      </c>
      <c r="E42" s="8" t="n">
        <v>11.4</v>
      </c>
      <c r="F42" s="9" t="n">
        <v>13</v>
      </c>
      <c r="G42" s="9" t="n">
        <v>51</v>
      </c>
      <c r="H42" s="10" t="n">
        <v>0.72851833984375</v>
      </c>
      <c r="I42" s="11" t="n">
        <v>0.9978253723822749</v>
      </c>
      <c r="J42" s="12" t="n">
        <v>0</v>
      </c>
      <c r="K42" s="13" t="n">
        <v>11.4</v>
      </c>
      <c r="L42" s="8">
        <f>MAX($H$2-A42,0)</f>
        <v/>
      </c>
      <c r="M42" s="8">
        <f>(L42-K42)*J42*100</f>
        <v/>
      </c>
    </row>
    <row r="43">
      <c r="A43" s="8" t="n">
        <v>108</v>
      </c>
      <c r="B43" s="8" t="n">
        <v>9.35</v>
      </c>
      <c r="C43" s="8" t="n">
        <v>11.7</v>
      </c>
      <c r="D43" s="8" t="n">
        <v>10.7</v>
      </c>
      <c r="E43" s="8" t="n">
        <v>10.525</v>
      </c>
      <c r="F43" s="9" t="n">
        <v>1</v>
      </c>
      <c r="G43" s="9" t="n">
        <v>183</v>
      </c>
      <c r="H43" s="10" t="n">
        <v>0.8994150683593749</v>
      </c>
      <c r="I43" s="11" t="n">
        <v>0.9830101297960703</v>
      </c>
      <c r="J43" s="12" t="n">
        <v>0</v>
      </c>
      <c r="K43" s="13" t="n">
        <v>10.525</v>
      </c>
      <c r="L43" s="8">
        <f>MAX($H$2-A43,0)</f>
        <v/>
      </c>
      <c r="M43" s="8">
        <f>(L43-K43)*J43*100</f>
        <v/>
      </c>
    </row>
    <row r="44">
      <c r="A44" s="8" t="n">
        <v>109</v>
      </c>
      <c r="B44" s="8" t="n">
        <v>8.550000000000001</v>
      </c>
      <c r="C44" s="8" t="n">
        <v>10.75</v>
      </c>
      <c r="D44" s="8" t="n">
        <v>7.39</v>
      </c>
      <c r="E44" s="8" t="n">
        <v>9.65</v>
      </c>
      <c r="F44" s="9" t="n">
        <v>2</v>
      </c>
      <c r="G44" s="9" t="n">
        <v>126</v>
      </c>
      <c r="H44" s="10" t="n">
        <v>0.8623060644531251</v>
      </c>
      <c r="I44" s="11" t="n">
        <v>0.9775384302217895</v>
      </c>
      <c r="J44" s="12" t="n">
        <v>0</v>
      </c>
      <c r="K44" s="13" t="n">
        <v>9.65</v>
      </c>
      <c r="L44" s="8">
        <f>MAX($H$2-A44,0)</f>
        <v/>
      </c>
      <c r="M44" s="8">
        <f>(L44-K44)*J44*100</f>
        <v/>
      </c>
    </row>
    <row r="45">
      <c r="A45" s="8" t="n">
        <v>110</v>
      </c>
      <c r="B45" s="8" t="n">
        <v>7.9</v>
      </c>
      <c r="C45" s="8" t="n">
        <v>9.6</v>
      </c>
      <c r="D45" s="8" t="n">
        <v>9.449999999999999</v>
      </c>
      <c r="E45" s="8" t="n">
        <v>8.75</v>
      </c>
      <c r="F45" s="9" t="n">
        <v>20</v>
      </c>
      <c r="G45" s="9" t="n">
        <v>400</v>
      </c>
      <c r="H45" s="10" t="n">
        <v>0.727541787109375</v>
      </c>
      <c r="I45" s="11" t="n">
        <v>0.9833857188198263</v>
      </c>
      <c r="J45" s="12" t="n">
        <v>0</v>
      </c>
      <c r="K45" s="13" t="n">
        <v>8.75</v>
      </c>
      <c r="L45" s="8">
        <f>MAX($H$2-A45,0)</f>
        <v/>
      </c>
      <c r="M45" s="8">
        <f>(L45-K45)*J45*100</f>
        <v/>
      </c>
    </row>
    <row r="46">
      <c r="A46" s="8" t="n">
        <v>111</v>
      </c>
      <c r="B46" s="8" t="n">
        <v>6.5</v>
      </c>
      <c r="C46" s="8" t="n">
        <v>8.85</v>
      </c>
      <c r="D46" s="8" t="n">
        <v>9.5</v>
      </c>
      <c r="E46" s="8" t="n">
        <v>7.675</v>
      </c>
      <c r="F46" s="9" t="n">
        <v>9</v>
      </c>
      <c r="G46" s="9" t="n">
        <v>195</v>
      </c>
      <c r="H46" s="10" t="n">
        <v>0.7763694238281251</v>
      </c>
      <c r="I46" s="11" t="n">
        <v>0.9620650634959729</v>
      </c>
      <c r="J46" s="12" t="n">
        <v>0</v>
      </c>
      <c r="K46" s="13" t="n">
        <v>7.675</v>
      </c>
      <c r="L46" s="8">
        <f>MAX($H$2-A46,0)</f>
        <v/>
      </c>
      <c r="M46" s="8">
        <f>(L46-K46)*J46*100</f>
        <v/>
      </c>
    </row>
    <row r="47">
      <c r="A47" s="8" t="n">
        <v>112</v>
      </c>
      <c r="B47" s="8" t="n">
        <v>5.55</v>
      </c>
      <c r="C47" s="8" t="n">
        <v>7.95</v>
      </c>
      <c r="D47" s="8" t="n">
        <v>7.25</v>
      </c>
      <c r="E47" s="8" t="n">
        <v>6.75</v>
      </c>
      <c r="F47" s="9" t="n">
        <v>1</v>
      </c>
      <c r="G47" s="9" t="n">
        <v>153</v>
      </c>
      <c r="H47" s="10" t="n">
        <v>0.7470728417968751</v>
      </c>
      <c r="I47" s="11" t="n">
        <v>0.9467214253183381</v>
      </c>
      <c r="J47" s="12" t="n">
        <v>0</v>
      </c>
      <c r="K47" s="13" t="n">
        <v>6.75</v>
      </c>
      <c r="L47" s="8">
        <f>MAX($H$2-A47,0)</f>
        <v/>
      </c>
      <c r="M47" s="8">
        <f>(L47-K47)*J47*100</f>
        <v/>
      </c>
    </row>
    <row r="48">
      <c r="A48" s="8" t="n">
        <v>113</v>
      </c>
      <c r="B48" s="8" t="n">
        <v>4.65</v>
      </c>
      <c r="C48" s="8" t="n">
        <v>6.95</v>
      </c>
      <c r="D48" s="8" t="n">
        <v>7</v>
      </c>
      <c r="E48" s="8" t="n">
        <v>5.800000000000001</v>
      </c>
      <c r="F48" s="9" t="n">
        <v>4</v>
      </c>
      <c r="G48" s="9" t="n">
        <v>99</v>
      </c>
      <c r="H48" s="10" t="n">
        <v>0.6777375976562501</v>
      </c>
      <c r="I48" s="11" t="n">
        <v>0.9363179588679991</v>
      </c>
      <c r="J48" s="12" t="n">
        <v>0</v>
      </c>
      <c r="K48" s="13" t="n">
        <v>5.800000000000001</v>
      </c>
      <c r="L48" s="8">
        <f>MAX($H$2-A48,0)</f>
        <v/>
      </c>
      <c r="M48" s="8">
        <f>(L48-K48)*J48*100</f>
        <v/>
      </c>
    </row>
    <row r="49">
      <c r="A49" s="8" t="n">
        <v>114</v>
      </c>
      <c r="B49" s="8" t="n">
        <v>5</v>
      </c>
      <c r="C49" s="8" t="n">
        <v>5.95</v>
      </c>
      <c r="D49" s="8" t="n">
        <v>3.9</v>
      </c>
      <c r="E49" s="8" t="n">
        <v>5.475</v>
      </c>
      <c r="F49" s="9" t="n">
        <v>23</v>
      </c>
      <c r="G49" s="9" t="n">
        <v>365</v>
      </c>
      <c r="H49" s="10" t="n">
        <v>0.6074258007812501</v>
      </c>
      <c r="I49" s="11" t="n">
        <v>0.9222029400073037</v>
      </c>
      <c r="J49" s="12" t="n">
        <v>0</v>
      </c>
      <c r="K49" s="13" t="n">
        <v>5.475</v>
      </c>
      <c r="L49" s="8">
        <f>MAX($H$2-A49,0)</f>
        <v/>
      </c>
      <c r="M49" s="8">
        <f>(L49-K49)*J49*100</f>
        <v/>
      </c>
    </row>
    <row r="50">
      <c r="A50" s="8" t="n">
        <v>115</v>
      </c>
      <c r="B50" s="8" t="n">
        <v>4.1</v>
      </c>
      <c r="C50" s="8" t="n">
        <v>4.8</v>
      </c>
      <c r="D50" s="8" t="n">
        <v>4</v>
      </c>
      <c r="E50" s="8" t="n">
        <v>4.449999999999999</v>
      </c>
      <c r="F50" s="9" t="n">
        <v>21</v>
      </c>
      <c r="G50" s="9" t="n">
        <v>365</v>
      </c>
      <c r="H50" s="10" t="n">
        <v>0.487309814453125</v>
      </c>
      <c r="I50" s="11" t="n">
        <v>0.9222842071043085</v>
      </c>
      <c r="J50" s="12" t="n">
        <v>0</v>
      </c>
      <c r="K50" s="13" t="n">
        <v>4.449999999999999</v>
      </c>
      <c r="L50" s="8">
        <f>MAX($H$2-A50,0)</f>
        <v/>
      </c>
      <c r="M50" s="8">
        <f>(L50-K50)*J50*100</f>
        <v/>
      </c>
    </row>
    <row r="51">
      <c r="A51" s="8" t="n">
        <v>116</v>
      </c>
      <c r="B51" s="8" t="n">
        <v>3.6</v>
      </c>
      <c r="C51" s="8" t="n">
        <v>4.1</v>
      </c>
      <c r="D51" s="8" t="n">
        <v>3.25</v>
      </c>
      <c r="E51" s="8" t="n">
        <v>3.85</v>
      </c>
      <c r="F51" s="9" t="n">
        <v>6</v>
      </c>
      <c r="G51" s="9" t="n">
        <v>254</v>
      </c>
      <c r="H51" s="10" t="n">
        <v>0.5024463818359376</v>
      </c>
      <c r="I51" s="11" t="n">
        <v>0.8529973020127792</v>
      </c>
      <c r="J51" s="12" t="n">
        <v>0</v>
      </c>
      <c r="K51" s="13" t="n">
        <v>3.85</v>
      </c>
      <c r="L51" s="8">
        <f>MAX($H$2-A51,0)</f>
        <v/>
      </c>
      <c r="M51" s="8">
        <f>(L51-K51)*J51*100</f>
        <v/>
      </c>
    </row>
    <row r="52">
      <c r="A52" s="8" t="n">
        <v>117</v>
      </c>
      <c r="B52" s="8" t="n">
        <v>2.96</v>
      </c>
      <c r="C52" s="8" t="n">
        <v>3.45</v>
      </c>
      <c r="D52" s="8" t="n">
        <v>2.43</v>
      </c>
      <c r="E52" s="8" t="n">
        <v>3.205</v>
      </c>
      <c r="F52" s="9" t="n">
        <v>13</v>
      </c>
      <c r="G52" s="9" t="n">
        <v>220</v>
      </c>
      <c r="H52" s="10" t="n">
        <v>0.5107470800781251</v>
      </c>
      <c r="I52" s="11" t="n">
        <v>0.7616650548034786</v>
      </c>
      <c r="J52" s="12" t="n">
        <v>0</v>
      </c>
      <c r="K52" s="13" t="n">
        <v>3.205</v>
      </c>
      <c r="L52" s="8">
        <f>MAX($H$2-A52,0)</f>
        <v/>
      </c>
      <c r="M52" s="8">
        <f>(L52-K52)*J52*100</f>
        <v/>
      </c>
    </row>
    <row r="53">
      <c r="A53" s="8" t="n">
        <v>118</v>
      </c>
      <c r="B53" s="8" t="n">
        <v>2.34</v>
      </c>
      <c r="C53" s="8" t="n">
        <v>2.78</v>
      </c>
      <c r="D53" s="8" t="n">
        <v>2.42</v>
      </c>
      <c r="E53" s="8" t="n">
        <v>2.56</v>
      </c>
      <c r="F53" s="9" t="n">
        <v>165</v>
      </c>
      <c r="G53" s="9" t="n">
        <v>422</v>
      </c>
      <c r="H53" s="10" t="n">
        <v>0.4970753417968751</v>
      </c>
      <c r="I53" s="11" t="n">
        <v>0.65667705204136</v>
      </c>
      <c r="J53" s="12" t="n">
        <v>0</v>
      </c>
      <c r="K53" s="13" t="n">
        <v>2.56</v>
      </c>
      <c r="L53" s="8">
        <f>MAX($H$2-A53,0)</f>
        <v/>
      </c>
      <c r="M53" s="8">
        <f>(L53-K53)*J53*100</f>
        <v/>
      </c>
    </row>
    <row r="54">
      <c r="A54" s="8" t="n">
        <v>119</v>
      </c>
      <c r="B54" s="8" t="n">
        <v>1.86</v>
      </c>
      <c r="C54" s="8" t="n">
        <v>2.17</v>
      </c>
      <c r="D54" s="8" t="n">
        <v>1.96</v>
      </c>
      <c r="E54" s="8" t="n">
        <v>2.015</v>
      </c>
      <c r="F54" s="9" t="n">
        <v>31</v>
      </c>
      <c r="G54" s="9" t="n">
        <v>63</v>
      </c>
      <c r="H54" s="10" t="n">
        <v>0.481450498046875</v>
      </c>
      <c r="I54" s="11" t="n">
        <v>0.5321994643529726</v>
      </c>
      <c r="J54" s="12" t="n">
        <v>0</v>
      </c>
      <c r="K54" s="13" t="n">
        <v>2.015</v>
      </c>
      <c r="L54" s="8">
        <f>MAX($H$2-A54,0)</f>
        <v/>
      </c>
      <c r="M54" s="8">
        <f>(L54-K54)*J54*100</f>
        <v/>
      </c>
    </row>
    <row r="55">
      <c r="A55" s="8" t="n">
        <v>120</v>
      </c>
      <c r="B55" s="8" t="n">
        <v>1.44</v>
      </c>
      <c r="C55" s="8" t="n">
        <v>1.77</v>
      </c>
      <c r="D55" s="8" t="n">
        <v>1.6</v>
      </c>
      <c r="E55" s="8" t="n">
        <v>1.605</v>
      </c>
      <c r="F55" s="9" t="n">
        <v>226</v>
      </c>
      <c r="G55" s="9" t="n">
        <v>474</v>
      </c>
      <c r="H55" s="10" t="n">
        <v>0.4970753417968751</v>
      </c>
      <c r="I55" s="11" t="n">
        <v>0.4041705724796478</v>
      </c>
      <c r="J55" s="12" t="n">
        <v>0</v>
      </c>
      <c r="K55" s="13" t="n">
        <v>1.605</v>
      </c>
      <c r="L55" s="8">
        <f>MAX($H$2-A55,0)</f>
        <v/>
      </c>
      <c r="M55" s="8">
        <f>(L55-K55)*J55*100</f>
        <v/>
      </c>
    </row>
    <row r="56">
      <c r="A56" s="8" t="n">
        <v>121</v>
      </c>
      <c r="B56" s="8" t="n">
        <v>1.1</v>
      </c>
      <c r="C56" s="8" t="n">
        <v>1.3</v>
      </c>
      <c r="D56" s="8" t="n">
        <v>1.08</v>
      </c>
      <c r="E56" s="8" t="n">
        <v>1.2</v>
      </c>
      <c r="F56" s="9" t="n">
        <v>71</v>
      </c>
      <c r="G56" s="9" t="n">
        <v>52</v>
      </c>
      <c r="H56" s="10" t="n">
        <v>0.4790091162109374</v>
      </c>
      <c r="I56" s="11" t="n">
        <v>0.2797207943417153</v>
      </c>
      <c r="J56" s="12" t="n">
        <v>0</v>
      </c>
      <c r="K56" s="13" t="n">
        <v>1.2</v>
      </c>
      <c r="L56" s="8">
        <f>MAX($H$2-A56,0)</f>
        <v/>
      </c>
      <c r="M56" s="8">
        <f>(L56-K56)*J56*100</f>
        <v/>
      </c>
    </row>
    <row r="57">
      <c r="A57" s="8" t="n">
        <v>122</v>
      </c>
      <c r="B57" s="8" t="n">
        <v>0.8100000000000001</v>
      </c>
      <c r="C57" s="8" t="n">
        <v>0.9399999999999999</v>
      </c>
      <c r="D57" s="8" t="n">
        <v>0.92</v>
      </c>
      <c r="E57" s="8" t="n">
        <v>0.875</v>
      </c>
      <c r="F57" s="9" t="n">
        <v>87</v>
      </c>
      <c r="G57" s="9" t="n">
        <v>138</v>
      </c>
      <c r="H57" s="10" t="n">
        <v>0.4687553125</v>
      </c>
      <c r="I57" s="11" t="n">
        <v>0.1755571282422044</v>
      </c>
      <c r="J57" s="12" t="n">
        <v>0</v>
      </c>
      <c r="K57" s="13" t="n">
        <v>0.875</v>
      </c>
      <c r="L57" s="8">
        <f>MAX($H$2-A57,0)</f>
        <v/>
      </c>
      <c r="M57" s="8">
        <f>(L57-K57)*J57*100</f>
        <v/>
      </c>
    </row>
    <row r="58">
      <c r="A58" s="8" t="n">
        <v>123</v>
      </c>
      <c r="B58" s="8" t="n">
        <v>0.61</v>
      </c>
      <c r="C58" s="8" t="n">
        <v>0.72</v>
      </c>
      <c r="D58" s="8" t="n">
        <v>0.72</v>
      </c>
      <c r="E58" s="8" t="n">
        <v>0.665</v>
      </c>
      <c r="F58" s="9" t="n">
        <v>16</v>
      </c>
      <c r="G58" s="9" t="n">
        <v>136</v>
      </c>
      <c r="H58" s="10" t="n">
        <v>0.4790091162109374</v>
      </c>
      <c r="I58" s="11" t="n">
        <v>0.1079456022284376</v>
      </c>
      <c r="J58" s="12" t="n">
        <v>0</v>
      </c>
      <c r="K58" s="13" t="n">
        <v>0.665</v>
      </c>
      <c r="L58" s="8">
        <f>MAX($H$2-A58,0)</f>
        <v/>
      </c>
      <c r="M58" s="8">
        <f>(L58-K58)*J58*100</f>
        <v/>
      </c>
    </row>
    <row r="59">
      <c r="A59" s="8" t="n">
        <v>124</v>
      </c>
      <c r="B59" s="8" t="n">
        <v>0.27</v>
      </c>
      <c r="C59" s="8" t="n">
        <v>0.6</v>
      </c>
      <c r="D59" s="8" t="n">
        <v>0.48</v>
      </c>
      <c r="E59" s="8" t="n">
        <v>0.435</v>
      </c>
      <c r="F59" s="9" t="n">
        <v>41</v>
      </c>
      <c r="G59" s="9" t="n">
        <v>30</v>
      </c>
      <c r="H59" s="10" t="n">
        <v>0.50586431640625</v>
      </c>
      <c r="I59" s="11" t="n">
        <v>0.06993582867452897</v>
      </c>
      <c r="J59" s="12" t="n">
        <v>0</v>
      </c>
      <c r="K59" s="13" t="n">
        <v>0.435</v>
      </c>
      <c r="L59" s="8">
        <f>MAX($H$2-A59,0)</f>
        <v/>
      </c>
      <c r="M59" s="8">
        <f>(L59-K59)*J59*100</f>
        <v/>
      </c>
    </row>
    <row r="60">
      <c r="A60" s="8" t="n">
        <v>125</v>
      </c>
      <c r="B60" s="8" t="n">
        <v>0.34</v>
      </c>
      <c r="C60" s="8" t="n">
        <v>0.47</v>
      </c>
      <c r="D60" s="8" t="n">
        <v>0.39</v>
      </c>
      <c r="E60" s="8" t="n">
        <v>0.405</v>
      </c>
      <c r="F60" s="9" t="n">
        <v>82</v>
      </c>
      <c r="G60" s="9" t="n">
        <v>200</v>
      </c>
      <c r="H60" s="10" t="n">
        <v>0.5195360546875</v>
      </c>
      <c r="I60" s="11" t="n">
        <v>0.04162942058857688</v>
      </c>
      <c r="J60" s="12" t="n">
        <v>0</v>
      </c>
      <c r="K60" s="13" t="n">
        <v>0.405</v>
      </c>
      <c r="L60" s="8">
        <f>MAX($H$2-A60,0)</f>
        <v/>
      </c>
      <c r="M60" s="8">
        <f>(L60-K60)*J60*100</f>
        <v/>
      </c>
    </row>
    <row r="61">
      <c r="A61" s="8" t="n">
        <v>126</v>
      </c>
      <c r="B61" s="8" t="n">
        <v>0.17</v>
      </c>
      <c r="C61" s="8" t="n">
        <v>0.55</v>
      </c>
      <c r="D61" s="8" t="n">
        <v>0.38</v>
      </c>
      <c r="E61" s="8" t="n">
        <v>0.36</v>
      </c>
      <c r="F61" s="9" t="n">
        <v>33</v>
      </c>
      <c r="G61" s="9" t="n">
        <v>2</v>
      </c>
      <c r="H61" s="10" t="n">
        <v>0.5293015820312501</v>
      </c>
      <c r="I61" s="11" t="n">
        <v>0.02344855855707551</v>
      </c>
      <c r="J61" s="12" t="n">
        <v>0</v>
      </c>
      <c r="K61" s="13" t="n">
        <v>0.36</v>
      </c>
      <c r="L61" s="8">
        <f>MAX($H$2-A61,0)</f>
        <v/>
      </c>
      <c r="M61" s="8">
        <f>(L61-K61)*J61*100</f>
        <v/>
      </c>
    </row>
    <row r="62">
      <c r="A62" s="8" t="n">
        <v>127</v>
      </c>
      <c r="B62" s="8" t="n">
        <v>0.09</v>
      </c>
      <c r="C62" s="8" t="n">
        <v>0.37</v>
      </c>
      <c r="D62" s="8" t="n">
        <v>0.36</v>
      </c>
      <c r="E62" s="8" t="n">
        <v>0.23</v>
      </c>
      <c r="F62" s="9" t="n">
        <v>60</v>
      </c>
      <c r="G62" s="9" t="n">
        <v>24</v>
      </c>
      <c r="H62" s="10" t="n">
        <v>0.514653291015625</v>
      </c>
      <c r="I62" s="11" t="n">
        <v>0.009693015378375858</v>
      </c>
      <c r="J62" s="12" t="n">
        <v>0</v>
      </c>
      <c r="K62" s="13" t="n">
        <v>0.23</v>
      </c>
      <c r="L62" s="8">
        <f>MAX($H$2-A62,0)</f>
        <v/>
      </c>
      <c r="M62" s="8">
        <f>(L62-K62)*J62*100</f>
        <v/>
      </c>
    </row>
    <row r="63">
      <c r="A63" s="8" t="n">
        <v>128</v>
      </c>
      <c r="B63" s="8" t="n">
        <v>0.05</v>
      </c>
      <c r="C63" s="8" t="n">
        <v>0.75</v>
      </c>
      <c r="D63" s="8" t="n">
        <v>0.26</v>
      </c>
      <c r="E63" s="8" t="n">
        <v>0.4</v>
      </c>
      <c r="F63" s="9" t="n">
        <v>40</v>
      </c>
      <c r="G63" s="9" t="n">
        <v>1619</v>
      </c>
      <c r="H63" s="10" t="n">
        <v>0.6503941210937501</v>
      </c>
      <c r="I63" s="11" t="n">
        <v>0.01903544844099181</v>
      </c>
      <c r="J63" s="12" t="n">
        <v>0</v>
      </c>
      <c r="K63" s="13" t="n">
        <v>0.4</v>
      </c>
      <c r="L63" s="8">
        <f>MAX($H$2-A63,0)</f>
        <v/>
      </c>
      <c r="M63" s="8">
        <f>(L63-K63)*J63*100</f>
        <v/>
      </c>
    </row>
    <row r="64">
      <c r="A64" s="8" t="n">
        <v>130</v>
      </c>
      <c r="B64" s="8" t="n">
        <v>0</v>
      </c>
      <c r="C64" s="8" t="n">
        <v>0.33</v>
      </c>
      <c r="D64" s="8" t="n">
        <v>0.15</v>
      </c>
      <c r="E64" s="8" t="n">
        <v>0.15</v>
      </c>
      <c r="F64" s="9" t="n">
        <v>1</v>
      </c>
      <c r="G64" s="9" t="n">
        <v>29</v>
      </c>
      <c r="H64" s="10" t="n">
        <v>0.6054726953125001</v>
      </c>
      <c r="I64" s="11" t="n">
        <v>0.003267780095617345</v>
      </c>
      <c r="J64" s="12" t="n">
        <v>0</v>
      </c>
      <c r="K64" s="13" t="n">
        <v>0.15</v>
      </c>
      <c r="L64" s="8">
        <f>MAX($H$2-A64,0)</f>
        <v/>
      </c>
      <c r="M64" s="8">
        <f>(L64-K64)*J64*100</f>
        <v/>
      </c>
    </row>
    <row r="65">
      <c r="A65" s="8" t="n">
        <v>131</v>
      </c>
      <c r="B65" s="8" t="n">
        <v>0.03</v>
      </c>
      <c r="C65" s="8" t="n">
        <v>0.13</v>
      </c>
      <c r="D65" s="8" t="n">
        <v>0.13</v>
      </c>
      <c r="E65" s="8" t="n">
        <v>0.08</v>
      </c>
      <c r="F65" s="9" t="n">
        <v>57</v>
      </c>
      <c r="G65" s="9" t="n">
        <v>36</v>
      </c>
      <c r="H65" s="10" t="n">
        <v>0.5625043750000001</v>
      </c>
      <c r="I65" s="11" t="n">
        <v>0.0007114370020673277</v>
      </c>
      <c r="J65" s="12" t="n">
        <v>0</v>
      </c>
      <c r="K65" s="13" t="n">
        <v>0.08</v>
      </c>
      <c r="L65" s="8">
        <f>MAX($H$2-A65,0)</f>
        <v/>
      </c>
      <c r="M65" s="8">
        <f>(L65-K65)*J65*100</f>
        <v/>
      </c>
    </row>
    <row r="66">
      <c r="A66" s="8" t="n">
        <v>133</v>
      </c>
      <c r="B66" s="8" t="n">
        <v>0</v>
      </c>
      <c r="C66" s="8" t="n">
        <v>0.06</v>
      </c>
      <c r="D66" s="8" t="n">
        <v>0.04</v>
      </c>
      <c r="E66" s="8" t="n">
        <v>0.04</v>
      </c>
      <c r="F66" s="9" t="n">
        <v>9</v>
      </c>
      <c r="G66" s="9" t="n">
        <v>15</v>
      </c>
      <c r="H66" s="10" t="n">
        <v>0.5468795312500001</v>
      </c>
      <c r="I66" s="11" t="n">
        <v>6.912978589834751e-05</v>
      </c>
      <c r="J66" s="12" t="n">
        <v>0</v>
      </c>
      <c r="K66" s="13" t="n">
        <v>0.04</v>
      </c>
      <c r="L66" s="8">
        <f>MAX($H$2-A66,0)</f>
        <v/>
      </c>
      <c r="M66" s="8">
        <f>(L66-K66)*J66*100</f>
        <v/>
      </c>
    </row>
    <row r="67">
      <c r="A67" s="8" t="n">
        <v>135</v>
      </c>
      <c r="B67" s="8" t="n">
        <v>0</v>
      </c>
      <c r="C67" s="8" t="n">
        <v>0.03</v>
      </c>
      <c r="D67" s="8" t="n">
        <v>0.2</v>
      </c>
      <c r="E67" s="8" t="n">
        <v>0.2</v>
      </c>
      <c r="F67" s="9" t="n">
        <v>1</v>
      </c>
      <c r="G67" s="9" t="n">
        <v>3</v>
      </c>
      <c r="H67" s="10" t="n">
        <v>0.5625043750000001</v>
      </c>
      <c r="I67" s="11" t="n">
        <v>1.268262329390257e-05</v>
      </c>
      <c r="J67" s="12" t="n">
        <v>0</v>
      </c>
      <c r="K67" s="13" t="n">
        <v>0.2</v>
      </c>
      <c r="L67" s="8">
        <f>MAX($H$2-A67,0)</f>
        <v/>
      </c>
      <c r="M67" s="8">
        <f>(L67-K67)*J67*100</f>
        <v/>
      </c>
    </row>
  </sheetData>
  <conditionalFormatting sqref="M6:M6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 to Exp</t>
        </is>
      </c>
      <c r="F1" s="1" t="inlineStr">
        <is>
          <t>Current Price</t>
        </is>
      </c>
      <c r="H1" s="2" t="inlineStr">
        <is>
          <t>Stock @ Expiry</t>
        </is>
      </c>
    </row>
    <row r="2">
      <c r="B2" s="3" t="inlineStr">
        <is>
          <t>CCJ</t>
        </is>
      </c>
      <c r="C2" s="3" t="inlineStr">
        <is>
          <t>2026-01-23</t>
        </is>
      </c>
      <c r="D2" s="3" t="n">
        <v>1</v>
      </c>
      <c r="F2" s="4" t="n">
        <v>119.19</v>
      </c>
      <c r="H2" s="5" t="n">
        <v>119.19</v>
      </c>
    </row>
    <row r="3">
      <c r="L3" s="6" t="inlineStr">
        <is>
          <t>Total P&amp;L:</t>
        </is>
      </c>
      <c r="M3" s="7">
        <f>SUM(M6:M56)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60</v>
      </c>
      <c r="B6" s="8" t="n">
        <v>0</v>
      </c>
      <c r="C6" s="8" t="n">
        <v>2.12</v>
      </c>
      <c r="D6" s="8" t="n">
        <v>0.07000000000000001</v>
      </c>
      <c r="E6" s="8" t="n">
        <v>0.07000000000000001</v>
      </c>
      <c r="F6" s="9" t="n">
        <v>0</v>
      </c>
      <c r="G6" s="9" t="n">
        <v>10</v>
      </c>
      <c r="H6" s="10" t="n">
        <v>4.992191259765624</v>
      </c>
      <c r="I6" s="11" t="n">
        <v>-0.002909071185663081</v>
      </c>
      <c r="J6" s="12" t="n">
        <v>0</v>
      </c>
      <c r="K6" s="13" t="n">
        <v>0.07000000000000001</v>
      </c>
      <c r="L6" s="8">
        <f>MAX(A6-$H$2,0)</f>
        <v/>
      </c>
      <c r="M6" s="8">
        <f>(L6-K6)*J6*100</f>
        <v/>
      </c>
    </row>
    <row r="7">
      <c r="A7" s="8" t="n">
        <v>65</v>
      </c>
      <c r="B7" s="8" t="n">
        <v>0</v>
      </c>
      <c r="C7" s="8" t="n">
        <v>0.06</v>
      </c>
      <c r="D7" s="8" t="n">
        <v>0.13</v>
      </c>
      <c r="E7" s="8" t="n">
        <v>0.13</v>
      </c>
      <c r="F7" s="9" t="n">
        <v>0</v>
      </c>
      <c r="G7" s="9" t="n">
        <v>10</v>
      </c>
      <c r="H7" s="10" t="n">
        <v>2.5781285546875</v>
      </c>
      <c r="I7" s="11" t="n">
        <v>-2.538891799908072e-06</v>
      </c>
      <c r="J7" s="12" t="n">
        <v>0</v>
      </c>
      <c r="K7" s="13" t="n">
        <v>0.13</v>
      </c>
      <c r="L7" s="8">
        <f>MAX(A7-$H$2,0)</f>
        <v/>
      </c>
      <c r="M7" s="8">
        <f>(L7-K7)*J7*100</f>
        <v/>
      </c>
    </row>
    <row r="8">
      <c r="A8" s="8" t="n">
        <v>70</v>
      </c>
      <c r="B8" s="8" t="n">
        <v>0</v>
      </c>
      <c r="C8" s="8" t="n">
        <v>2.12</v>
      </c>
      <c r="D8" s="8" t="n">
        <v>0.05</v>
      </c>
      <c r="E8" s="8" t="n">
        <v>0.05</v>
      </c>
      <c r="F8" s="9" t="n">
        <v>2</v>
      </c>
      <c r="G8" s="9" t="n">
        <v>7502</v>
      </c>
      <c r="H8" s="10" t="n">
        <v>4.025395593261719</v>
      </c>
      <c r="I8" s="11" t="n">
        <v>-0.004245108091435079</v>
      </c>
      <c r="J8" s="12" t="n">
        <v>0</v>
      </c>
      <c r="K8" s="13" t="n">
        <v>0.05</v>
      </c>
      <c r="L8" s="8">
        <f>MAX(A8-$H$2,0)</f>
        <v/>
      </c>
      <c r="M8" s="8">
        <f>(L8-K8)*J8*100</f>
        <v/>
      </c>
    </row>
    <row r="9">
      <c r="A9" s="8" t="n">
        <v>74</v>
      </c>
      <c r="B9" s="8" t="n">
        <v>0</v>
      </c>
      <c r="C9" s="8" t="n">
        <v>2.12</v>
      </c>
      <c r="D9" s="8" t="n">
        <v>0.05</v>
      </c>
      <c r="E9" s="8" t="n">
        <v>0.05</v>
      </c>
      <c r="F9" s="9" t="n">
        <v>5</v>
      </c>
      <c r="G9" s="9" t="n">
        <v>7</v>
      </c>
      <c r="H9" s="10" t="n">
        <v>3.673828940429688</v>
      </c>
      <c r="I9" s="11" t="n">
        <v>-0.005004371708064559</v>
      </c>
      <c r="J9" s="12" t="n">
        <v>0</v>
      </c>
      <c r="K9" s="13" t="n">
        <v>0.05</v>
      </c>
      <c r="L9" s="8">
        <f>MAX(A9-$H$2,0)</f>
        <v/>
      </c>
      <c r="M9" s="8">
        <f>(L9-K9)*J9*100</f>
        <v/>
      </c>
    </row>
    <row r="10">
      <c r="A10" s="8" t="n">
        <v>75</v>
      </c>
      <c r="B10" s="8" t="n">
        <v>0</v>
      </c>
      <c r="C10" s="8" t="n">
        <v>0.07000000000000001</v>
      </c>
      <c r="D10" s="8" t="n">
        <v>1.07</v>
      </c>
      <c r="E10" s="8" t="n">
        <v>1.07</v>
      </c>
      <c r="F10" s="9" t="n">
        <v>1</v>
      </c>
      <c r="G10" s="9" t="n">
        <v>5067</v>
      </c>
      <c r="H10" s="10" t="n">
        <v>2.0468798828125</v>
      </c>
      <c r="I10" s="11" t="n">
        <v>-5.978259550398768e-06</v>
      </c>
      <c r="J10" s="12" t="n">
        <v>0</v>
      </c>
      <c r="K10" s="13" t="n">
        <v>1.07</v>
      </c>
      <c r="L10" s="8">
        <f>MAX(A10-$H$2,0)</f>
        <v/>
      </c>
      <c r="M10" s="8">
        <f>(L10-K10)*J10*100</f>
        <v/>
      </c>
    </row>
    <row r="11">
      <c r="A11" s="8" t="n">
        <v>76</v>
      </c>
      <c r="B11" s="8" t="n">
        <v>0</v>
      </c>
      <c r="C11" s="8" t="n">
        <v>2.12</v>
      </c>
      <c r="D11" s="8" t="n">
        <v>0.25</v>
      </c>
      <c r="E11" s="8" t="n">
        <v>0.25</v>
      </c>
      <c r="F11" s="9" t="n">
        <v>0</v>
      </c>
      <c r="G11" s="9" t="n">
        <v>1</v>
      </c>
      <c r="H11" s="10" t="n">
        <v>3.503907490234375</v>
      </c>
      <c r="I11" s="11" t="n">
        <v>-0.00544967789019879</v>
      </c>
      <c r="J11" s="12" t="n">
        <v>0</v>
      </c>
      <c r="K11" s="13" t="n">
        <v>0.25</v>
      </c>
      <c r="L11" s="8">
        <f>MAX(A11-$H$2,0)</f>
        <v/>
      </c>
      <c r="M11" s="8">
        <f>(L11-K11)*J11*100</f>
        <v/>
      </c>
    </row>
    <row r="12">
      <c r="A12" s="8" t="n">
        <v>77</v>
      </c>
      <c r="B12" s="8" t="n">
        <v>0</v>
      </c>
      <c r="C12" s="8" t="n">
        <v>2.12</v>
      </c>
      <c r="D12" s="8" t="n">
        <v>1.11</v>
      </c>
      <c r="E12" s="8" t="n">
        <v>1.11</v>
      </c>
      <c r="F12" s="9" t="n">
        <v>1</v>
      </c>
      <c r="G12" s="9" t="n">
        <v>13</v>
      </c>
      <c r="H12" s="10" t="n">
        <v>3.4218764453125</v>
      </c>
      <c r="I12" s="11" t="n">
        <v>-0.005709436391080125</v>
      </c>
      <c r="J12" s="12" t="n">
        <v>0</v>
      </c>
      <c r="K12" s="13" t="n">
        <v>1.11</v>
      </c>
      <c r="L12" s="8">
        <f>MAX(A12-$H$2,0)</f>
        <v/>
      </c>
      <c r="M12" s="8">
        <f>(L12-K12)*J12*100</f>
        <v/>
      </c>
    </row>
    <row r="13">
      <c r="A13" s="8" t="n">
        <v>78</v>
      </c>
      <c r="B13" s="8" t="n">
        <v>0</v>
      </c>
      <c r="C13" s="8" t="n">
        <v>0.08</v>
      </c>
      <c r="D13" s="8" t="n">
        <v>0.01</v>
      </c>
      <c r="E13" s="8" t="n">
        <v>0.01</v>
      </c>
      <c r="F13" s="9" t="n">
        <v>2</v>
      </c>
      <c r="G13" s="9" t="n">
        <v>41</v>
      </c>
      <c r="H13" s="10" t="n">
        <v>1.9140629296875</v>
      </c>
      <c r="I13" s="11" t="n">
        <v>-9.197748443545706e-06</v>
      </c>
      <c r="J13" s="12" t="n">
        <v>0</v>
      </c>
      <c r="K13" s="13" t="n">
        <v>0.01</v>
      </c>
      <c r="L13" s="8">
        <f>MAX(A13-$H$2,0)</f>
        <v/>
      </c>
      <c r="M13" s="8">
        <f>(L13-K13)*J13*100</f>
        <v/>
      </c>
    </row>
    <row r="14">
      <c r="A14" s="8" t="n">
        <v>79</v>
      </c>
      <c r="B14" s="8" t="n">
        <v>0</v>
      </c>
      <c r="C14" s="8" t="n">
        <v>0.55</v>
      </c>
      <c r="D14" s="8" t="n">
        <v>0.24</v>
      </c>
      <c r="E14" s="8" t="n">
        <v>0.24</v>
      </c>
      <c r="F14" s="9" t="n">
        <v>10</v>
      </c>
      <c r="G14" s="9" t="n">
        <v>40</v>
      </c>
      <c r="H14" s="10" t="n">
        <v>2.46094134765625</v>
      </c>
      <c r="I14" s="11" t="n">
        <v>-0.0005606576053545087</v>
      </c>
      <c r="J14" s="12" t="n">
        <v>0</v>
      </c>
      <c r="K14" s="13" t="n">
        <v>0.24</v>
      </c>
      <c r="L14" s="8">
        <f>MAX(A14-$H$2,0)</f>
        <v/>
      </c>
      <c r="M14" s="8">
        <f>(L14-K14)*J14*100</f>
        <v/>
      </c>
    </row>
    <row r="15">
      <c r="A15" s="8" t="n">
        <v>80</v>
      </c>
      <c r="B15" s="8" t="n">
        <v>0</v>
      </c>
      <c r="C15" s="8" t="n">
        <v>0.08</v>
      </c>
      <c r="D15" s="8" t="n">
        <v>0.02</v>
      </c>
      <c r="E15" s="8" t="n">
        <v>0.02</v>
      </c>
      <c r="F15" s="9" t="n">
        <v>1</v>
      </c>
      <c r="G15" s="9" t="n">
        <v>29</v>
      </c>
      <c r="H15" s="10" t="n">
        <v>1.8125009375</v>
      </c>
      <c r="I15" s="11" t="n">
        <v>-1.063056525496542e-05</v>
      </c>
      <c r="J15" s="12" t="n">
        <v>0</v>
      </c>
      <c r="K15" s="13" t="n">
        <v>0.02</v>
      </c>
      <c r="L15" s="8">
        <f>MAX(A15-$H$2,0)</f>
        <v/>
      </c>
      <c r="M15" s="8">
        <f>(L15-K15)*J15*100</f>
        <v/>
      </c>
    </row>
    <row r="16">
      <c r="A16" s="8" t="n">
        <v>81</v>
      </c>
      <c r="B16" s="8" t="n">
        <v>0</v>
      </c>
      <c r="C16" s="8" t="n">
        <v>0.07000000000000001</v>
      </c>
      <c r="D16" s="8" t="n">
        <v>0.29</v>
      </c>
      <c r="E16" s="8" t="n">
        <v>0.29</v>
      </c>
      <c r="F16" s="9" t="n">
        <v>2</v>
      </c>
      <c r="G16" s="9" t="n">
        <v>75</v>
      </c>
      <c r="H16" s="10" t="n">
        <v>1.734376328125</v>
      </c>
      <c r="I16" s="11" t="n">
        <v>-8.474951097348082e-06</v>
      </c>
      <c r="J16" s="12" t="n">
        <v>0</v>
      </c>
      <c r="K16" s="13" t="n">
        <v>0.29</v>
      </c>
      <c r="L16" s="8">
        <f>MAX(A16-$H$2,0)</f>
        <v/>
      </c>
      <c r="M16" s="8">
        <f>(L16-K16)*J16*100</f>
        <v/>
      </c>
    </row>
    <row r="17">
      <c r="A17" s="8" t="n">
        <v>82</v>
      </c>
      <c r="B17" s="8" t="n">
        <v>0</v>
      </c>
      <c r="C17" s="8" t="n">
        <v>0.09</v>
      </c>
      <c r="D17" s="8" t="n">
        <v>0.01</v>
      </c>
      <c r="E17" s="8" t="n">
        <v>0.01</v>
      </c>
      <c r="F17" s="9" t="n">
        <v>2</v>
      </c>
      <c r="G17" s="9" t="n">
        <v>30</v>
      </c>
      <c r="H17" s="10" t="n">
        <v>1.734376328125</v>
      </c>
      <c r="I17" s="11" t="n">
        <v>-1.54635015924276e-05</v>
      </c>
      <c r="J17" s="12" t="n">
        <v>0</v>
      </c>
      <c r="K17" s="13" t="n">
        <v>0.01</v>
      </c>
      <c r="L17" s="8">
        <f>MAX(A17-$H$2,0)</f>
        <v/>
      </c>
      <c r="M17" s="8">
        <f>(L17-K17)*J17*100</f>
        <v/>
      </c>
    </row>
    <row r="18">
      <c r="A18" s="8" t="n">
        <v>83</v>
      </c>
      <c r="B18" s="8" t="n">
        <v>0</v>
      </c>
      <c r="C18" s="8" t="n">
        <v>0.11</v>
      </c>
      <c r="D18" s="8" t="n">
        <v>0.01</v>
      </c>
      <c r="E18" s="8" t="n">
        <v>0.01</v>
      </c>
      <c r="F18" s="9" t="n">
        <v>3</v>
      </c>
      <c r="G18" s="9" t="n">
        <v>27</v>
      </c>
      <c r="H18" s="10" t="n">
        <v>1.7265638671875</v>
      </c>
      <c r="I18" s="11" t="n">
        <v>-2.55162499069872e-05</v>
      </c>
      <c r="J18" s="12" t="n">
        <v>0</v>
      </c>
      <c r="K18" s="13" t="n">
        <v>0.01</v>
      </c>
      <c r="L18" s="8">
        <f>MAX(A18-$H$2,0)</f>
        <v/>
      </c>
      <c r="M18" s="8">
        <f>(L18-K18)*J18*100</f>
        <v/>
      </c>
    </row>
    <row r="19">
      <c r="A19" s="8" t="n">
        <v>84</v>
      </c>
      <c r="B19" s="8" t="n">
        <v>0</v>
      </c>
      <c r="C19" s="8" t="n">
        <v>0.08</v>
      </c>
      <c r="D19" s="8" t="n">
        <v>0.38</v>
      </c>
      <c r="E19" s="8" t="n">
        <v>0.38</v>
      </c>
      <c r="F19" s="9" t="n">
        <v>2</v>
      </c>
      <c r="G19" s="9" t="n">
        <v>1020</v>
      </c>
      <c r="H19" s="10" t="n">
        <v>1.609376953125</v>
      </c>
      <c r="I19" s="11" t="n">
        <v>-1.350680667933091e-05</v>
      </c>
      <c r="J19" s="12" t="n">
        <v>0</v>
      </c>
      <c r="K19" s="13" t="n">
        <v>0.38</v>
      </c>
      <c r="L19" s="8">
        <f>MAX(A19-$H$2,0)</f>
        <v/>
      </c>
      <c r="M19" s="8">
        <f>(L19-K19)*J19*100</f>
        <v/>
      </c>
    </row>
    <row r="20">
      <c r="A20" s="8" t="n">
        <v>85</v>
      </c>
      <c r="B20" s="8" t="n">
        <v>0</v>
      </c>
      <c r="C20" s="8" t="n">
        <v>0.04</v>
      </c>
      <c r="D20" s="8" t="n">
        <v>0.04</v>
      </c>
      <c r="E20" s="8" t="n">
        <v>0.04</v>
      </c>
      <c r="F20" s="9" t="n">
        <v>1</v>
      </c>
      <c r="G20" s="9" t="n">
        <v>44</v>
      </c>
      <c r="H20" s="10" t="n">
        <v>1.4375028125</v>
      </c>
      <c r="I20" s="11" t="n">
        <v>-2.917106900812705e-06</v>
      </c>
      <c r="J20" s="12" t="n">
        <v>0</v>
      </c>
      <c r="K20" s="13" t="n">
        <v>0.04</v>
      </c>
      <c r="L20" s="8">
        <f>MAX(A20-$H$2,0)</f>
        <v/>
      </c>
      <c r="M20" s="8">
        <f>(L20-K20)*J20*100</f>
        <v/>
      </c>
    </row>
    <row r="21">
      <c r="A21" s="8" t="n">
        <v>86</v>
      </c>
      <c r="B21" s="8" t="n">
        <v>0</v>
      </c>
      <c r="C21" s="8" t="n">
        <v>0.08</v>
      </c>
      <c r="D21" s="8" t="n">
        <v>0.12</v>
      </c>
      <c r="E21" s="8" t="n">
        <v>0.12</v>
      </c>
      <c r="F21" s="9" t="n">
        <v>26</v>
      </c>
      <c r="G21" s="9" t="n">
        <v>424</v>
      </c>
      <c r="H21" s="10" t="n">
        <v>1.515627421875</v>
      </c>
      <c r="I21" s="11" t="n">
        <v>-1.624739756556082e-05</v>
      </c>
      <c r="J21" s="12" t="n">
        <v>0</v>
      </c>
      <c r="K21" s="13" t="n">
        <v>0.12</v>
      </c>
      <c r="L21" s="8">
        <f>MAX(A21-$H$2,0)</f>
        <v/>
      </c>
      <c r="M21" s="8">
        <f>(L21-K21)*J21*100</f>
        <v/>
      </c>
    </row>
    <row r="22">
      <c r="A22" s="8" t="n">
        <v>87</v>
      </c>
      <c r="B22" s="8" t="n">
        <v>0</v>
      </c>
      <c r="C22" s="8" t="n">
        <v>0.75</v>
      </c>
      <c r="D22" s="8" t="n">
        <v>0.05</v>
      </c>
      <c r="E22" s="8" t="n">
        <v>0.05</v>
      </c>
      <c r="F22" s="9" t="n">
        <v>1</v>
      </c>
      <c r="G22" s="9" t="n">
        <v>25</v>
      </c>
      <c r="H22" s="10" t="n">
        <v>2.078129804687499</v>
      </c>
      <c r="I22" s="11" t="n">
        <v>-0.00159048692222763</v>
      </c>
      <c r="J22" s="12" t="n">
        <v>0</v>
      </c>
      <c r="K22" s="13" t="n">
        <v>0.05</v>
      </c>
      <c r="L22" s="8">
        <f>MAX(A22-$H$2,0)</f>
        <v/>
      </c>
      <c r="M22" s="8">
        <f>(L22-K22)*J22*100</f>
        <v/>
      </c>
    </row>
    <row r="23">
      <c r="A23" s="8" t="n">
        <v>88</v>
      </c>
      <c r="B23" s="8" t="n">
        <v>0</v>
      </c>
      <c r="C23" s="8" t="n">
        <v>0.75</v>
      </c>
      <c r="D23" s="8" t="n">
        <v>0.01</v>
      </c>
      <c r="E23" s="8" t="n">
        <v>0.01</v>
      </c>
      <c r="F23" s="9" t="n">
        <v>2</v>
      </c>
      <c r="G23" s="9" t="n">
        <v>8</v>
      </c>
      <c r="H23" s="10" t="n">
        <v>2.0156299609375</v>
      </c>
      <c r="I23" s="11" t="n">
        <v>-0.001697537312638109</v>
      </c>
      <c r="J23" s="12" t="n">
        <v>0</v>
      </c>
      <c r="K23" s="13" t="n">
        <v>0.01</v>
      </c>
      <c r="L23" s="8">
        <f>MAX(A23-$H$2,0)</f>
        <v/>
      </c>
      <c r="M23" s="8">
        <f>(L23-K23)*J23*100</f>
        <v/>
      </c>
    </row>
    <row r="24">
      <c r="A24" s="8" t="n">
        <v>89</v>
      </c>
      <c r="B24" s="8" t="n">
        <v>0</v>
      </c>
      <c r="C24" s="8" t="n">
        <v>0.1</v>
      </c>
      <c r="D24" s="8" t="n">
        <v>0.12</v>
      </c>
      <c r="E24" s="8" t="n">
        <v>0.12</v>
      </c>
      <c r="F24" s="9" t="n">
        <v>4</v>
      </c>
      <c r="G24" s="9" t="n">
        <v>12</v>
      </c>
      <c r="H24" s="10" t="n">
        <v>1.40625296875</v>
      </c>
      <c r="I24" s="11" t="n">
        <v>-3.07953408402728e-05</v>
      </c>
      <c r="J24" s="12" t="n">
        <v>0</v>
      </c>
      <c r="K24" s="13" t="n">
        <v>0.12</v>
      </c>
      <c r="L24" s="8">
        <f>MAX(A24-$H$2,0)</f>
        <v/>
      </c>
      <c r="M24" s="8">
        <f>(L24-K24)*J24*100</f>
        <v/>
      </c>
    </row>
    <row r="25">
      <c r="A25" s="8" t="n">
        <v>90</v>
      </c>
      <c r="B25" s="8" t="n">
        <v>0</v>
      </c>
      <c r="C25" s="8" t="n">
        <v>0.08</v>
      </c>
      <c r="D25" s="8" t="n">
        <v>0.09</v>
      </c>
      <c r="E25" s="8" t="n">
        <v>0.09</v>
      </c>
      <c r="F25" s="9" t="n">
        <v>36</v>
      </c>
      <c r="G25" s="9" t="n">
        <v>118</v>
      </c>
      <c r="H25" s="10" t="n">
        <v>1.3203158984375</v>
      </c>
      <c r="I25" s="11" t="n">
        <v>-2.056001792427598e-05</v>
      </c>
      <c r="J25" s="12" t="n">
        <v>0</v>
      </c>
      <c r="K25" s="13" t="n">
        <v>0.09</v>
      </c>
      <c r="L25" s="8">
        <f>MAX(A25-$H$2,0)</f>
        <v/>
      </c>
      <c r="M25" s="8">
        <f>(L25-K25)*J25*100</f>
        <v/>
      </c>
    </row>
    <row r="26">
      <c r="A26" s="8" t="n">
        <v>91</v>
      </c>
      <c r="B26" s="8" t="n">
        <v>0</v>
      </c>
      <c r="C26" s="8" t="n">
        <v>0.08</v>
      </c>
      <c r="D26" s="8" t="n">
        <v>0.6</v>
      </c>
      <c r="E26" s="8" t="n">
        <v>0.6</v>
      </c>
      <c r="F26" s="9" t="n">
        <v>1</v>
      </c>
      <c r="G26" s="9" t="n">
        <v>147</v>
      </c>
      <c r="H26" s="10" t="n">
        <v>1.2734411328125</v>
      </c>
      <c r="I26" s="11" t="n">
        <v>-2.215462287002978e-05</v>
      </c>
      <c r="J26" s="12" t="n">
        <v>0</v>
      </c>
      <c r="K26" s="13" t="n">
        <v>0.6</v>
      </c>
      <c r="L26" s="8">
        <f>MAX(A26-$H$2,0)</f>
        <v/>
      </c>
      <c r="M26" s="8">
        <f>(L26-K26)*J26*100</f>
        <v/>
      </c>
    </row>
    <row r="27">
      <c r="A27" s="8" t="n">
        <v>92</v>
      </c>
      <c r="B27" s="8" t="n">
        <v>0</v>
      </c>
      <c r="C27" s="8" t="n">
        <v>0.1</v>
      </c>
      <c r="D27" s="8" t="n">
        <v>0.24</v>
      </c>
      <c r="E27" s="8" t="n">
        <v>0.24</v>
      </c>
      <c r="F27" s="9" t="n">
        <v>7</v>
      </c>
      <c r="G27" s="9" t="n">
        <v>112</v>
      </c>
      <c r="H27" s="10" t="n">
        <v>1.265628671875</v>
      </c>
      <c r="I27" s="11" t="n">
        <v>-4.013378917067101e-05</v>
      </c>
      <c r="J27" s="12" t="n">
        <v>0</v>
      </c>
      <c r="K27" s="13" t="n">
        <v>0.24</v>
      </c>
      <c r="L27" s="8">
        <f>MAX(A27-$H$2,0)</f>
        <v/>
      </c>
      <c r="M27" s="8">
        <f>(L27-K27)*J27*100</f>
        <v/>
      </c>
    </row>
    <row r="28">
      <c r="A28" s="8" t="n">
        <v>93</v>
      </c>
      <c r="B28" s="8" t="n">
        <v>0</v>
      </c>
      <c r="C28" s="8" t="n">
        <v>0.08</v>
      </c>
      <c r="D28" s="8" t="n">
        <v>0.5</v>
      </c>
      <c r="E28" s="8" t="n">
        <v>0.5</v>
      </c>
      <c r="F28" s="9" t="n">
        <v>1</v>
      </c>
      <c r="G28" s="9" t="n">
        <v>45</v>
      </c>
      <c r="H28" s="10" t="n">
        <v>1.1875040625</v>
      </c>
      <c r="I28" s="11" t="n">
        <v>-2.850080062022364e-05</v>
      </c>
      <c r="J28" s="12" t="n">
        <v>0</v>
      </c>
      <c r="K28" s="13" t="n">
        <v>0.5</v>
      </c>
      <c r="L28" s="8">
        <f>MAX(A28-$H$2,0)</f>
        <v/>
      </c>
      <c r="M28" s="8">
        <f>(L28-K28)*J28*100</f>
        <v/>
      </c>
    </row>
    <row r="29">
      <c r="A29" s="8" t="n">
        <v>94</v>
      </c>
      <c r="B29" s="8" t="n">
        <v>0.11</v>
      </c>
      <c r="C29" s="8" t="n">
        <v>0.09</v>
      </c>
      <c r="D29" s="8" t="n">
        <v>0.45</v>
      </c>
      <c r="E29" s="8" t="n">
        <v>0.1</v>
      </c>
      <c r="F29" s="9" t="n">
        <v>1</v>
      </c>
      <c r="G29" s="9" t="n">
        <v>15</v>
      </c>
      <c r="H29" s="10" t="n">
        <v>1.296878515625</v>
      </c>
      <c r="I29" s="11" t="n">
        <v>-0.000205147981756304</v>
      </c>
      <c r="J29" s="12" t="n">
        <v>0</v>
      </c>
      <c r="K29" s="13" t="n">
        <v>0.1</v>
      </c>
      <c r="L29" s="8">
        <f>MAX(A29-$H$2,0)</f>
        <v/>
      </c>
      <c r="M29" s="8">
        <f>(L29-K29)*J29*100</f>
        <v/>
      </c>
    </row>
    <row r="30">
      <c r="A30" s="8" t="n">
        <v>95</v>
      </c>
      <c r="B30" s="8" t="n">
        <v>0</v>
      </c>
      <c r="C30" s="8" t="n">
        <v>0.5</v>
      </c>
      <c r="D30" s="8" t="n">
        <v>0.05</v>
      </c>
      <c r="E30" s="8" t="n">
        <v>0.05</v>
      </c>
      <c r="F30" s="9" t="n">
        <v>7</v>
      </c>
      <c r="G30" s="9" t="n">
        <v>162</v>
      </c>
      <c r="H30" s="10" t="n">
        <v>1.4609401953125</v>
      </c>
      <c r="I30" s="11" t="n">
        <v>-0.001322242784905447</v>
      </c>
      <c r="J30" s="12" t="n">
        <v>0</v>
      </c>
      <c r="K30" s="13" t="n">
        <v>0.05</v>
      </c>
      <c r="L30" s="8">
        <f>MAX(A30-$H$2,0)</f>
        <v/>
      </c>
      <c r="M30" s="8">
        <f>(L30-K30)*J30*100</f>
        <v/>
      </c>
    </row>
    <row r="31">
      <c r="A31" s="8" t="n">
        <v>96</v>
      </c>
      <c r="B31" s="8" t="n">
        <v>0</v>
      </c>
      <c r="C31" s="8" t="n">
        <v>0.09</v>
      </c>
      <c r="D31" s="8" t="n">
        <v>0.02</v>
      </c>
      <c r="E31" s="8" t="n">
        <v>0.02</v>
      </c>
      <c r="F31" s="9" t="n">
        <v>17</v>
      </c>
      <c r="G31" s="9" t="n">
        <v>60</v>
      </c>
      <c r="H31" s="10" t="n">
        <v>1.0625046875</v>
      </c>
      <c r="I31" s="11" t="n">
        <v>-4.416431618814443e-05</v>
      </c>
      <c r="J31" s="12" t="n">
        <v>0</v>
      </c>
      <c r="K31" s="13" t="n">
        <v>0.02</v>
      </c>
      <c r="L31" s="8">
        <f>MAX(A31-$H$2,0)</f>
        <v/>
      </c>
      <c r="M31" s="8">
        <f>(L31-K31)*J31*100</f>
        <v/>
      </c>
    </row>
    <row r="32">
      <c r="A32" s="8" t="n">
        <v>97</v>
      </c>
      <c r="B32" s="8" t="n">
        <v>0</v>
      </c>
      <c r="C32" s="8" t="n">
        <v>0.1</v>
      </c>
      <c r="D32" s="8" t="n">
        <v>0.32</v>
      </c>
      <c r="E32" s="8" t="n">
        <v>0.32</v>
      </c>
      <c r="F32" s="9" t="n">
        <v>16</v>
      </c>
      <c r="G32" s="9" t="n">
        <v>61</v>
      </c>
      <c r="H32" s="10" t="n">
        <v>1.03516107421875</v>
      </c>
      <c r="I32" s="11" t="n">
        <v>-6.369350744306335e-05</v>
      </c>
      <c r="J32" s="12" t="n">
        <v>0</v>
      </c>
      <c r="K32" s="13" t="n">
        <v>0.32</v>
      </c>
      <c r="L32" s="8">
        <f>MAX(A32-$H$2,0)</f>
        <v/>
      </c>
      <c r="M32" s="8">
        <f>(L32-K32)*J32*100</f>
        <v/>
      </c>
    </row>
    <row r="33">
      <c r="A33" s="8" t="n">
        <v>98</v>
      </c>
      <c r="B33" s="8" t="n">
        <v>0</v>
      </c>
      <c r="C33" s="8" t="n">
        <v>0.07000000000000001</v>
      </c>
      <c r="D33" s="8" t="n">
        <v>0.05</v>
      </c>
      <c r="E33" s="8" t="n">
        <v>0.05</v>
      </c>
      <c r="F33" s="9" t="n">
        <v>2</v>
      </c>
      <c r="G33" s="9" t="n">
        <v>134</v>
      </c>
      <c r="H33" s="10" t="n">
        <v>0.945313046875</v>
      </c>
      <c r="I33" s="11" t="n">
        <v>-3.396702905156257e-05</v>
      </c>
      <c r="J33" s="12" t="n">
        <v>0</v>
      </c>
      <c r="K33" s="13" t="n">
        <v>0.05</v>
      </c>
      <c r="L33" s="8">
        <f>MAX(A33-$H$2,0)</f>
        <v/>
      </c>
      <c r="M33" s="8">
        <f>(L33-K33)*J33*100</f>
        <v/>
      </c>
    </row>
    <row r="34">
      <c r="A34" s="8" t="n">
        <v>99</v>
      </c>
      <c r="B34" s="8" t="n">
        <v>0</v>
      </c>
      <c r="C34" s="8" t="n">
        <v>0.1</v>
      </c>
      <c r="D34" s="8" t="n">
        <v>0.55</v>
      </c>
      <c r="E34" s="8" t="n">
        <v>0.55</v>
      </c>
      <c r="F34" s="9" t="n">
        <v>3</v>
      </c>
      <c r="G34" s="9" t="n">
        <v>47</v>
      </c>
      <c r="H34" s="10" t="n">
        <v>0.945313046875</v>
      </c>
      <c r="I34" s="11" t="n">
        <v>-7.897469702178306e-05</v>
      </c>
      <c r="J34" s="12" t="n">
        <v>0</v>
      </c>
      <c r="K34" s="13" t="n">
        <v>0.55</v>
      </c>
      <c r="L34" s="8">
        <f>MAX(A34-$H$2,0)</f>
        <v/>
      </c>
      <c r="M34" s="8">
        <f>(L34-K34)*J34*100</f>
        <v/>
      </c>
    </row>
    <row r="35">
      <c r="A35" s="8" t="n">
        <v>100</v>
      </c>
      <c r="B35" s="8" t="n">
        <v>0</v>
      </c>
      <c r="C35" s="8" t="n">
        <v>0.1</v>
      </c>
      <c r="D35" s="8" t="n">
        <v>0.03</v>
      </c>
      <c r="E35" s="8" t="n">
        <v>0.03</v>
      </c>
      <c r="F35" s="9" t="n">
        <v>5</v>
      </c>
      <c r="G35" s="9" t="n">
        <v>53</v>
      </c>
      <c r="H35" s="10" t="n">
        <v>0.8984385156249999</v>
      </c>
      <c r="I35" s="11" t="n">
        <v>-8.525789297575415e-05</v>
      </c>
      <c r="J35" s="12" t="n">
        <v>0</v>
      </c>
      <c r="K35" s="13" t="n">
        <v>0.03</v>
      </c>
      <c r="L35" s="8">
        <f>MAX(A35-$H$2,0)</f>
        <v/>
      </c>
      <c r="M35" s="8">
        <f>(L35-K35)*J35*100</f>
        <v/>
      </c>
    </row>
    <row r="36">
      <c r="A36" s="8" t="n">
        <v>101</v>
      </c>
      <c r="B36" s="8" t="n">
        <v>0</v>
      </c>
      <c r="C36" s="8" t="n">
        <v>0.08</v>
      </c>
      <c r="D36" s="8" t="n">
        <v>0.4</v>
      </c>
      <c r="E36" s="8" t="n">
        <v>0.4</v>
      </c>
      <c r="F36" s="9" t="n">
        <v>17</v>
      </c>
      <c r="G36" s="9" t="n">
        <v>20</v>
      </c>
      <c r="H36" s="10" t="n">
        <v>0.8281267187499999</v>
      </c>
      <c r="I36" s="11" t="n">
        <v>-6.030350501207149e-05</v>
      </c>
      <c r="J36" s="12" t="n">
        <v>0</v>
      </c>
      <c r="K36" s="13" t="n">
        <v>0.4</v>
      </c>
      <c r="L36" s="8">
        <f>MAX(A36-$H$2,0)</f>
        <v/>
      </c>
      <c r="M36" s="8">
        <f>(L36-K36)*J36*100</f>
        <v/>
      </c>
    </row>
    <row r="37">
      <c r="A37" s="8" t="n">
        <v>102</v>
      </c>
      <c r="B37" s="8" t="n">
        <v>0</v>
      </c>
      <c r="C37" s="8" t="n">
        <v>0.03</v>
      </c>
      <c r="D37" s="8" t="n">
        <v>0.05</v>
      </c>
      <c r="E37" s="8" t="n">
        <v>0.05</v>
      </c>
      <c r="F37" s="9" t="n">
        <v>6</v>
      </c>
      <c r="G37" s="9" t="n">
        <v>125</v>
      </c>
      <c r="H37" s="10" t="n">
        <v>0.6953155468750001</v>
      </c>
      <c r="I37" s="11" t="n">
        <v>-8.502552338196523e-06</v>
      </c>
      <c r="J37" s="12" t="n">
        <v>0</v>
      </c>
      <c r="K37" s="13" t="n">
        <v>0.05</v>
      </c>
      <c r="L37" s="8">
        <f>MAX(A37-$H$2,0)</f>
        <v/>
      </c>
      <c r="M37" s="8">
        <f>(L37-K37)*J37*100</f>
        <v/>
      </c>
    </row>
    <row r="38">
      <c r="A38" s="8" t="n">
        <v>103</v>
      </c>
      <c r="B38" s="8" t="n">
        <v>0</v>
      </c>
      <c r="C38" s="8" t="n">
        <v>0.03</v>
      </c>
      <c r="D38" s="8" t="n">
        <v>0.03</v>
      </c>
      <c r="E38" s="8" t="n">
        <v>0.03</v>
      </c>
      <c r="F38" s="9" t="n">
        <v>7</v>
      </c>
      <c r="G38" s="9" t="n">
        <v>332</v>
      </c>
      <c r="H38" s="10" t="n">
        <v>0.6562534375000001</v>
      </c>
      <c r="I38" s="11" t="n">
        <v>-9.736528855830429e-06</v>
      </c>
      <c r="J38" s="12" t="n">
        <v>0</v>
      </c>
      <c r="K38" s="13" t="n">
        <v>0.03</v>
      </c>
      <c r="L38" s="8">
        <f>MAX(A38-$H$2,0)</f>
        <v/>
      </c>
      <c r="M38" s="8">
        <f>(L38-K38)*J38*100</f>
        <v/>
      </c>
    </row>
    <row r="39">
      <c r="A39" s="8" t="n">
        <v>104</v>
      </c>
      <c r="B39" s="8" t="n">
        <v>0</v>
      </c>
      <c r="C39" s="8" t="n">
        <v>0.11</v>
      </c>
      <c r="D39" s="8" t="n">
        <v>0.04</v>
      </c>
      <c r="E39" s="8" t="n">
        <v>0.04</v>
      </c>
      <c r="F39" s="9" t="n">
        <v>201</v>
      </c>
      <c r="G39" s="9" t="n">
        <v>397</v>
      </c>
      <c r="H39" s="10" t="n">
        <v>0.73437765625</v>
      </c>
      <c r="I39" s="11" t="n">
        <v>-0.0001791564892156261</v>
      </c>
      <c r="J39" s="12" t="n">
        <v>0</v>
      </c>
      <c r="K39" s="13" t="n">
        <v>0.04</v>
      </c>
      <c r="L39" s="8">
        <f>MAX(A39-$H$2,0)</f>
        <v/>
      </c>
      <c r="M39" s="8">
        <f>(L39-K39)*J39*100</f>
        <v/>
      </c>
    </row>
    <row r="40">
      <c r="A40" s="8" t="n">
        <v>105</v>
      </c>
      <c r="B40" s="8" t="n">
        <v>0</v>
      </c>
      <c r="C40" s="8" t="n">
        <v>0.1</v>
      </c>
      <c r="D40" s="8" t="n">
        <v>0.07000000000000001</v>
      </c>
      <c r="E40" s="8" t="n">
        <v>0.07000000000000001</v>
      </c>
      <c r="F40" s="9" t="n">
        <v>18</v>
      </c>
      <c r="G40" s="9" t="n">
        <v>64</v>
      </c>
      <c r="H40" s="10" t="n">
        <v>0.6796907031250001</v>
      </c>
      <c r="I40" s="11" t="n">
        <v>-0.000169040798945197</v>
      </c>
      <c r="J40" s="12" t="n">
        <v>0</v>
      </c>
      <c r="K40" s="13" t="n">
        <v>0.07000000000000001</v>
      </c>
      <c r="L40" s="8">
        <f>MAX(A40-$H$2,0)</f>
        <v/>
      </c>
      <c r="M40" s="8">
        <f>(L40-K40)*J40*100</f>
        <v/>
      </c>
    </row>
    <row r="41">
      <c r="A41" s="8" t="n">
        <v>106</v>
      </c>
      <c r="B41" s="8" t="n">
        <v>0</v>
      </c>
      <c r="C41" s="8" t="n">
        <v>0.32</v>
      </c>
      <c r="D41" s="8" t="n">
        <v>0.12</v>
      </c>
      <c r="E41" s="8" t="n">
        <v>0.12</v>
      </c>
      <c r="F41" s="9" t="n">
        <v>22</v>
      </c>
      <c r="G41" s="9" t="n">
        <v>265</v>
      </c>
      <c r="H41" s="10" t="n">
        <v>0.77929908203125</v>
      </c>
      <c r="I41" s="11" t="n">
        <v>-0.001874165370006953</v>
      </c>
      <c r="J41" s="12" t="n">
        <v>0</v>
      </c>
      <c r="K41" s="13" t="n">
        <v>0.12</v>
      </c>
      <c r="L41" s="8">
        <f>MAX(A41-$H$2,0)</f>
        <v/>
      </c>
      <c r="M41" s="8">
        <f>(L41-K41)*J41*100</f>
        <v/>
      </c>
    </row>
    <row r="42">
      <c r="A42" s="8" t="n">
        <v>107</v>
      </c>
      <c r="B42" s="8" t="n">
        <v>0</v>
      </c>
      <c r="C42" s="8" t="n">
        <v>0.34</v>
      </c>
      <c r="D42" s="8" t="n">
        <v>0.09</v>
      </c>
      <c r="E42" s="8" t="n">
        <v>0.09</v>
      </c>
      <c r="F42" s="9" t="n">
        <v>207</v>
      </c>
      <c r="G42" s="9" t="n">
        <v>797</v>
      </c>
      <c r="H42" s="10" t="n">
        <v>0.7382838671874999</v>
      </c>
      <c r="I42" s="11" t="n">
        <v>-0.002443107410584178</v>
      </c>
      <c r="J42" s="12" t="n">
        <v>0</v>
      </c>
      <c r="K42" s="13" t="n">
        <v>0.09</v>
      </c>
      <c r="L42" s="8">
        <f>MAX(A42-$H$2,0)</f>
        <v/>
      </c>
      <c r="M42" s="8">
        <f>(L42-K42)*J42*100</f>
        <v/>
      </c>
    </row>
    <row r="43">
      <c r="A43" s="8" t="n">
        <v>108</v>
      </c>
      <c r="B43" s="8" t="n">
        <v>0.06</v>
      </c>
      <c r="C43" s="8" t="n">
        <v>0.39</v>
      </c>
      <c r="D43" s="8" t="n">
        <v>0.09</v>
      </c>
      <c r="E43" s="8" t="n">
        <v>0.225</v>
      </c>
      <c r="F43" s="9" t="n">
        <v>111</v>
      </c>
      <c r="G43" s="9" t="n">
        <v>86</v>
      </c>
      <c r="H43" s="10" t="n">
        <v>0.7304714453125</v>
      </c>
      <c r="I43" s="11" t="n">
        <v>-0.004649888068749775</v>
      </c>
      <c r="J43" s="12" t="n">
        <v>0</v>
      </c>
      <c r="K43" s="13" t="n">
        <v>0.225</v>
      </c>
      <c r="L43" s="8">
        <f>MAX(A43-$H$2,0)</f>
        <v/>
      </c>
      <c r="M43" s="8">
        <f>(L43-K43)*J43*100</f>
        <v/>
      </c>
    </row>
    <row r="44">
      <c r="A44" s="8" t="n">
        <v>109</v>
      </c>
      <c r="B44" s="8" t="n">
        <v>0.01</v>
      </c>
      <c r="C44" s="8" t="n">
        <v>0.36</v>
      </c>
      <c r="D44" s="8" t="n">
        <v>0.11</v>
      </c>
      <c r="E44" s="8" t="n">
        <v>0.185</v>
      </c>
      <c r="F44" s="9" t="n">
        <v>45</v>
      </c>
      <c r="G44" s="9" t="n">
        <v>132</v>
      </c>
      <c r="H44" s="10" t="n">
        <v>0.64648791015625</v>
      </c>
      <c r="I44" s="11" t="n">
        <v>-0.003887949869213037</v>
      </c>
      <c r="J44" s="12" t="n">
        <v>0</v>
      </c>
      <c r="K44" s="13" t="n">
        <v>0.185</v>
      </c>
      <c r="L44" s="8">
        <f>MAX(A44-$H$2,0)</f>
        <v/>
      </c>
      <c r="M44" s="8">
        <f>(L44-K44)*J44*100</f>
        <v/>
      </c>
    </row>
    <row r="45">
      <c r="A45" s="8" t="n">
        <v>110</v>
      </c>
      <c r="B45" s="8" t="n">
        <v>0.05</v>
      </c>
      <c r="C45" s="8" t="n">
        <v>0.23</v>
      </c>
      <c r="D45" s="8" t="n">
        <v>0.17</v>
      </c>
      <c r="E45" s="8" t="n">
        <v>0.14</v>
      </c>
      <c r="F45" s="9" t="n">
        <v>30</v>
      </c>
      <c r="G45" s="9" t="n">
        <v>227</v>
      </c>
      <c r="H45" s="10" t="n">
        <v>0.5585981640625001</v>
      </c>
      <c r="I45" s="11" t="n">
        <v>-0.0028625519635328</v>
      </c>
      <c r="J45" s="12" t="n">
        <v>0</v>
      </c>
      <c r="K45" s="13" t="n">
        <v>0.14</v>
      </c>
      <c r="L45" s="8">
        <f>MAX(A45-$H$2,0)</f>
        <v/>
      </c>
      <c r="M45" s="8">
        <f>(L45-K45)*J45*100</f>
        <v/>
      </c>
    </row>
    <row r="46">
      <c r="A46" s="8" t="n">
        <v>111</v>
      </c>
      <c r="B46" s="8" t="n">
        <v>0.05</v>
      </c>
      <c r="C46" s="8" t="n">
        <v>0.27</v>
      </c>
      <c r="D46" s="8" t="n">
        <v>0.23</v>
      </c>
      <c r="E46" s="8" t="n">
        <v>0.16</v>
      </c>
      <c r="F46" s="9" t="n">
        <v>15</v>
      </c>
      <c r="G46" s="9" t="n">
        <v>113</v>
      </c>
      <c r="H46" s="10" t="n">
        <v>0.523442265625</v>
      </c>
      <c r="I46" s="11" t="n">
        <v>-0.004441897789384308</v>
      </c>
      <c r="J46" s="12" t="n">
        <v>0</v>
      </c>
      <c r="K46" s="13" t="n">
        <v>0.16</v>
      </c>
      <c r="L46" s="8">
        <f>MAX(A46-$H$2,0)</f>
        <v/>
      </c>
      <c r="M46" s="8">
        <f>(L46-K46)*J46*100</f>
        <v/>
      </c>
    </row>
    <row r="47">
      <c r="A47" s="8" t="n">
        <v>112</v>
      </c>
      <c r="B47" s="8" t="n">
        <v>0.24</v>
      </c>
      <c r="C47" s="8" t="n">
        <v>0.33</v>
      </c>
      <c r="D47" s="8" t="n">
        <v>0.23</v>
      </c>
      <c r="E47" s="8" t="n">
        <v>0.285</v>
      </c>
      <c r="F47" s="9" t="n">
        <v>96</v>
      </c>
      <c r="G47" s="9" t="n">
        <v>258</v>
      </c>
      <c r="H47" s="10" t="n">
        <v>0.5459029785156251</v>
      </c>
      <c r="I47" s="11" t="n">
        <v>-0.01404184650579698</v>
      </c>
      <c r="J47" s="12" t="n">
        <v>0</v>
      </c>
      <c r="K47" s="13" t="n">
        <v>0.285</v>
      </c>
      <c r="L47" s="8">
        <f>MAX(A47-$H$2,0)</f>
        <v/>
      </c>
      <c r="M47" s="8">
        <f>(L47-K47)*J47*100</f>
        <v/>
      </c>
    </row>
    <row r="48">
      <c r="A48" s="8" t="n">
        <v>113</v>
      </c>
      <c r="B48" s="8" t="n">
        <v>0.35</v>
      </c>
      <c r="C48" s="8" t="n">
        <v>0.42</v>
      </c>
      <c r="D48" s="8" t="n">
        <v>0.49</v>
      </c>
      <c r="E48" s="8" t="n">
        <v>0.385</v>
      </c>
      <c r="F48" s="9" t="n">
        <v>43</v>
      </c>
      <c r="G48" s="9" t="n">
        <v>647</v>
      </c>
      <c r="H48" s="10" t="n">
        <v>0.534184345703125</v>
      </c>
      <c r="I48" s="11" t="n">
        <v>-0.02706709531643614</v>
      </c>
      <c r="J48" s="12" t="n">
        <v>0</v>
      </c>
      <c r="K48" s="13" t="n">
        <v>0.385</v>
      </c>
      <c r="L48" s="8">
        <f>MAX(A48-$H$2,0)</f>
        <v/>
      </c>
      <c r="M48" s="8">
        <f>(L48-K48)*J48*100</f>
        <v/>
      </c>
    </row>
    <row r="49">
      <c r="A49" s="8" t="n">
        <v>114</v>
      </c>
      <c r="B49" s="8" t="n">
        <v>0.49</v>
      </c>
      <c r="C49" s="8" t="n">
        <v>0.5600000000000001</v>
      </c>
      <c r="D49" s="8" t="n">
        <v>0.55</v>
      </c>
      <c r="E49" s="8" t="n">
        <v>0.525</v>
      </c>
      <c r="F49" s="9" t="n">
        <v>95</v>
      </c>
      <c r="G49" s="9" t="n">
        <v>594</v>
      </c>
      <c r="H49" s="10" t="n">
        <v>0.526371923828125</v>
      </c>
      <c r="I49" s="11" t="n">
        <v>-0.05111424658732888</v>
      </c>
      <c r="J49" s="12" t="n">
        <v>0</v>
      </c>
      <c r="K49" s="13" t="n">
        <v>0.525</v>
      </c>
      <c r="L49" s="8">
        <f>MAX(A49-$H$2,0)</f>
        <v/>
      </c>
      <c r="M49" s="8">
        <f>(L49-K49)*J49*100</f>
        <v/>
      </c>
    </row>
    <row r="50">
      <c r="A50" s="8" t="n">
        <v>115</v>
      </c>
      <c r="B50" s="8" t="n">
        <v>0.7</v>
      </c>
      <c r="C50" s="8" t="n">
        <v>0.9399999999999999</v>
      </c>
      <c r="D50" s="8" t="n">
        <v>0.97</v>
      </c>
      <c r="E50" s="8" t="n">
        <v>0.82</v>
      </c>
      <c r="F50" s="9" t="n">
        <v>203</v>
      </c>
      <c r="G50" s="9" t="n">
        <v>823</v>
      </c>
      <c r="H50" s="10" t="n">
        <v>0.5532271240234375</v>
      </c>
      <c r="I50" s="11" t="n">
        <v>-0.1048149101538538</v>
      </c>
      <c r="J50" s="12" t="n">
        <v>0</v>
      </c>
      <c r="K50" s="13" t="n">
        <v>0.82</v>
      </c>
      <c r="L50" s="8">
        <f>MAX(A50-$H$2,0)</f>
        <v/>
      </c>
      <c r="M50" s="8">
        <f>(L50-K50)*J50*100</f>
        <v/>
      </c>
    </row>
    <row r="51">
      <c r="A51" s="8" t="n">
        <v>116</v>
      </c>
      <c r="B51" s="8" t="n">
        <v>0.9399999999999999</v>
      </c>
      <c r="C51" s="8" t="n">
        <v>1.04</v>
      </c>
      <c r="D51" s="8" t="n">
        <v>1.04</v>
      </c>
      <c r="E51" s="8" t="n">
        <v>0.99</v>
      </c>
      <c r="F51" s="9" t="n">
        <v>84</v>
      </c>
      <c r="G51" s="9" t="n">
        <v>220</v>
      </c>
      <c r="H51" s="10" t="n">
        <v>0.5249070947265625</v>
      </c>
      <c r="I51" s="11" t="n">
        <v>-0.1572984291821409</v>
      </c>
      <c r="J51" s="12" t="n">
        <v>0</v>
      </c>
      <c r="K51" s="13" t="n">
        <v>0.99</v>
      </c>
      <c r="L51" s="8">
        <f>MAX(A51-$H$2,0)</f>
        <v/>
      </c>
      <c r="M51" s="8">
        <f>(L51-K51)*J51*100</f>
        <v/>
      </c>
    </row>
    <row r="52">
      <c r="A52" s="8" t="n">
        <v>117</v>
      </c>
      <c r="B52" s="8" t="n">
        <v>1.22</v>
      </c>
      <c r="C52" s="8" t="n">
        <v>1.75</v>
      </c>
      <c r="D52" s="8" t="n">
        <v>1.55</v>
      </c>
      <c r="E52" s="8" t="n">
        <v>1.485</v>
      </c>
      <c r="F52" s="9" t="n">
        <v>368</v>
      </c>
      <c r="G52" s="9" t="n">
        <v>579</v>
      </c>
      <c r="H52" s="10" t="n">
        <v>0.5678754150390625</v>
      </c>
      <c r="I52" s="11" t="n">
        <v>-0.260139737929056</v>
      </c>
      <c r="J52" s="12" t="n">
        <v>0</v>
      </c>
      <c r="K52" s="13" t="n">
        <v>1.485</v>
      </c>
      <c r="L52" s="8">
        <f>MAX(A52-$H$2,0)</f>
        <v/>
      </c>
      <c r="M52" s="8">
        <f>(L52-K52)*J52*100</f>
        <v/>
      </c>
    </row>
    <row r="53">
      <c r="A53" s="8" t="n">
        <v>118</v>
      </c>
      <c r="B53" s="8" t="n">
        <v>1.66</v>
      </c>
      <c r="C53" s="8" t="n">
        <v>2</v>
      </c>
      <c r="D53" s="8" t="n">
        <v>1.9</v>
      </c>
      <c r="E53" s="8" t="n">
        <v>1.83</v>
      </c>
      <c r="F53" s="9" t="n">
        <v>212</v>
      </c>
      <c r="G53" s="9" t="n">
        <v>8</v>
      </c>
      <c r="H53" s="10" t="n">
        <v>0.5542036767578126</v>
      </c>
      <c r="I53" s="11" t="n">
        <v>-0.3576815779095079</v>
      </c>
      <c r="J53" s="12" t="n">
        <v>0</v>
      </c>
      <c r="K53" s="13" t="n">
        <v>1.83</v>
      </c>
      <c r="L53" s="8">
        <f>MAX(A53-$H$2,0)</f>
        <v/>
      </c>
      <c r="M53" s="8">
        <f>(L53-K53)*J53*100</f>
        <v/>
      </c>
    </row>
    <row r="54">
      <c r="A54" s="8" t="n">
        <v>119</v>
      </c>
      <c r="B54" s="8" t="n">
        <v>2.14</v>
      </c>
      <c r="C54" s="8" t="n">
        <v>2.65</v>
      </c>
      <c r="D54" s="8" t="n">
        <v>2.2</v>
      </c>
      <c r="E54" s="8" t="n">
        <v>2.395</v>
      </c>
      <c r="F54" s="9" t="n">
        <v>20</v>
      </c>
      <c r="G54" s="9" t="n">
        <v>52</v>
      </c>
      <c r="H54" s="10" t="n">
        <v>0.5778850805664062</v>
      </c>
      <c r="I54" s="11" t="n">
        <v>-0.4713236791476947</v>
      </c>
      <c r="J54" s="12" t="n">
        <v>0</v>
      </c>
      <c r="K54" s="13" t="n">
        <v>2.395</v>
      </c>
      <c r="L54" s="8">
        <f>MAX(A54-$H$2,0)</f>
        <v/>
      </c>
      <c r="M54" s="8">
        <f>(L54-K54)*J54*100</f>
        <v/>
      </c>
    </row>
    <row r="55">
      <c r="A55" s="8" t="n">
        <v>120</v>
      </c>
      <c r="B55" s="8" t="n">
        <v>2.7</v>
      </c>
      <c r="C55" s="8" t="n">
        <v>3.25</v>
      </c>
      <c r="D55" s="8" t="n">
        <v>3.03</v>
      </c>
      <c r="E55" s="8" t="n">
        <v>2.975</v>
      </c>
      <c r="F55" s="9" t="n">
        <v>5</v>
      </c>
      <c r="G55" s="9" t="n">
        <v>59</v>
      </c>
      <c r="H55" s="10" t="n">
        <v>0.5893595751953126</v>
      </c>
      <c r="I55" s="11" t="n">
        <v>-0.5793114776486261</v>
      </c>
      <c r="J55" s="12" t="n">
        <v>0</v>
      </c>
      <c r="K55" s="13" t="n">
        <v>2.975</v>
      </c>
      <c r="L55" s="8">
        <f>MAX(A55-$H$2,0)</f>
        <v/>
      </c>
      <c r="M55" s="8">
        <f>(L55-K55)*J55*100</f>
        <v/>
      </c>
    </row>
    <row r="56">
      <c r="A56" s="8" t="n">
        <v>125</v>
      </c>
      <c r="B56" s="8" t="n">
        <v>6.05</v>
      </c>
      <c r="C56" s="8" t="n">
        <v>8.15</v>
      </c>
      <c r="D56" s="8" t="n">
        <v>12.94</v>
      </c>
      <c r="E56" s="8" t="n">
        <v>7.1</v>
      </c>
      <c r="F56" s="9" t="n">
        <v>0</v>
      </c>
      <c r="G56" s="9" t="n">
        <v>23</v>
      </c>
      <c r="H56" s="10" t="n">
        <v>0.780275634765625</v>
      </c>
      <c r="I56" s="11" t="n">
        <v>-0.8732556465345083</v>
      </c>
      <c r="J56" s="12" t="n">
        <v>0</v>
      </c>
      <c r="K56" s="13" t="n">
        <v>7.1</v>
      </c>
      <c r="L56" s="8">
        <f>MAX(A56-$H$2,0)</f>
        <v/>
      </c>
      <c r="M56" s="8">
        <f>(L56-K56)*J56*100</f>
        <v/>
      </c>
    </row>
  </sheetData>
  <conditionalFormatting sqref="M6:M5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6" t="inlineStr">
        <is>
          <t>Available Expiration Dates</t>
        </is>
      </c>
      <c r="B1" s="6" t="inlineStr">
        <is>
          <t>for CCJ</t>
        </is>
      </c>
    </row>
    <row r="2">
      <c r="A2" s="14" t="inlineStr">
        <is>
          <t>(Re-run script with desired date)</t>
        </is>
      </c>
    </row>
    <row r="4">
      <c r="A4" s="15" t="inlineStr">
        <is>
          <t>2026-01-23</t>
        </is>
      </c>
      <c r="B4" s="16" t="inlineStr">
        <is>
          <t>← Current</t>
        </is>
      </c>
    </row>
    <row r="5">
      <c r="A5" t="inlineStr">
        <is>
          <t>2026-01-30</t>
        </is>
      </c>
    </row>
    <row r="6">
      <c r="A6" t="inlineStr">
        <is>
          <t>2026-02-06</t>
        </is>
      </c>
    </row>
    <row r="7">
      <c r="A7" t="inlineStr">
        <is>
          <t>2026-02-13</t>
        </is>
      </c>
    </row>
    <row r="8">
      <c r="A8" t="inlineStr">
        <is>
          <t>2026-02-20</t>
        </is>
      </c>
    </row>
    <row r="9">
      <c r="A9" t="inlineStr">
        <is>
          <t>2026-02-27</t>
        </is>
      </c>
    </row>
    <row r="10">
      <c r="A10" t="inlineStr">
        <is>
          <t>2026-03-20</t>
        </is>
      </c>
    </row>
    <row r="11">
      <c r="A11" t="inlineStr">
        <is>
          <t>2026-06-18</t>
        </is>
      </c>
    </row>
    <row r="12">
      <c r="A12" t="inlineStr">
        <is>
          <t>2026-09-18</t>
        </is>
      </c>
    </row>
    <row r="13">
      <c r="A13" t="inlineStr">
        <is>
          <t>2026-12-18</t>
        </is>
      </c>
    </row>
    <row r="14">
      <c r="A14" t="inlineStr">
        <is>
          <t>2027-01-15</t>
        </is>
      </c>
    </row>
    <row r="15">
      <c r="A15" t="inlineStr">
        <is>
          <t>2028-01-21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2026-01-21T18:57:40Z</dcterms:created>
  <dcterms:modified xsi:type="dcterms:W3CDTF">2026-01-21T18:57:40Z</dcterms:modified>
</cp:coreProperties>
</file>