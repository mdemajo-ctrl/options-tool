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p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5">
    <fill>
      <patternFill/>
    </fill>
    <fill>
      <patternFill patternType="gray125"/>
    </fill>
    <fill>
      <patternFill patternType="solid">
        <fgColor rgb="0044546A"/>
        <bgColor rgb="0044546A"/>
      </patternFill>
    </fill>
    <fill>
      <patternFill patternType="solid">
        <fgColor rgb="004F81BD"/>
        <bgColor rgb="004F81BD"/>
      </patternFill>
    </fill>
    <fill>
      <patternFill patternType="solid">
        <fgColor rgb="00FFFFC8"/>
        <bgColor rgb="00FFFFC8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pivotButton="0" quotePrefix="0" xfId="0"/>
    <xf numFmtId="0" fontId="1" fillId="3" borderId="1" pivotButton="0" quotePrefix="0" xfId="0"/>
    <xf numFmtId="0" fontId="0" fillId="0" borderId="1" pivotButton="0" quotePrefix="0" xfId="0"/>
    <xf numFmtId="164" fontId="0" fillId="0" borderId="1" pivotButton="0" quotePrefix="0" xfId="0"/>
    <xf numFmtId="164" fontId="0" fillId="4" borderId="1" pivotButton="0" quotePrefix="0" xfId="0"/>
    <xf numFmtId="0" fontId="2" fillId="0" borderId="0" pivotButton="0" quotePrefix="0" xfId="0"/>
    <xf numFmtId="164" fontId="2" fillId="0" borderId="0" pivotButton="0" quotePrefix="0" xfId="0"/>
    <xf numFmtId="164" fontId="0" fillId="0" borderId="0" pivotButton="0" quotePrefix="0" xfId="0"/>
    <xf numFmtId="3" fontId="0" fillId="0" borderId="0" pivotButton="0" quotePrefix="0" xfId="0"/>
    <xf numFmtId="10" fontId="0" fillId="0" borderId="0" pivotButton="0" quotePrefix="0" xfId="0"/>
    <xf numFmtId="1" fontId="0" fillId="4" borderId="0" pivotButton="0" quotePrefix="0" xfId="0"/>
    <xf numFmtId="164" fontId="0" fillId="4" borderId="0" pivotButton="0" quotePrefix="0" xfId="0"/>
  </cellXfs>
  <cellStyles count="1">
    <cellStyle name="Normal" xfId="0" builtinId="0" hidden="0"/>
  </cellStyles>
  <dxfs count="2">
    <dxf>
      <font>
        <color rgb="00008000"/>
      </font>
    </dxf>
    <dxf>
      <font>
        <color rgb="00C00000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67"/>
  <sheetViews>
    <sheetView workbookViewId="0">
      <pane ySplit="5" topLeftCell="A6" activePane="bottomLeft" state="frozen"/>
      <selection pane="bottomLeft" activeCell="A1" sqref="A1"/>
    </sheetView>
  </sheetViews>
  <sheetFormatPr baseColWidth="8" defaultRowHeight="15"/>
  <cols>
    <col width="10" customWidth="1" min="1" max="1"/>
    <col width="8" customWidth="1" min="2" max="2"/>
    <col width="8" customWidth="1" min="3" max="3"/>
    <col width="8" customWidth="1" min="4" max="4"/>
    <col width="8" customWidth="1" min="5" max="5"/>
    <col width="10" customWidth="1" min="6" max="6"/>
    <col width="10" customWidth="1" min="7" max="7"/>
    <col width="10" customWidth="1" min="8" max="8"/>
    <col width="8" customWidth="1" min="9" max="9"/>
    <col width="10" customWidth="1" min="10" max="10"/>
    <col width="12" customWidth="1" min="11" max="11"/>
    <col width="10" customWidth="1" min="12" max="12"/>
    <col width="12" customWidth="1" min="13" max="13"/>
  </cols>
  <sheetData>
    <row r="1">
      <c r="B1" s="1" t="inlineStr">
        <is>
          <t>Ticker</t>
        </is>
      </c>
      <c r="C1" s="1" t="inlineStr">
        <is>
          <t>Expiry</t>
        </is>
      </c>
      <c r="D1" s="1" t="inlineStr">
        <is>
          <t>Type</t>
        </is>
      </c>
      <c r="F1" s="1" t="inlineStr">
        <is>
          <t>Current Price</t>
        </is>
      </c>
      <c r="H1" s="2" t="inlineStr">
        <is>
          <t>Stock @ Expiry</t>
        </is>
      </c>
    </row>
    <row r="2">
      <c r="B2" s="3" t="inlineStr">
        <is>
          <t>CCJ</t>
        </is>
      </c>
      <c r="C2" s="3" t="inlineStr">
        <is>
          <t>2026-01-23</t>
        </is>
      </c>
      <c r="D2" s="3" t="inlineStr">
        <is>
          <t>CALL</t>
        </is>
      </c>
      <c r="F2" s="4" t="n">
        <v>118.93</v>
      </c>
      <c r="H2" s="5" t="n">
        <v>118.93</v>
      </c>
    </row>
    <row r="3">
      <c r="L3" s="6" t="inlineStr">
        <is>
          <t>Total P&amp;L:</t>
        </is>
      </c>
      <c r="M3" s="7">
        <f>SUM(M6:M67)</f>
        <v/>
      </c>
    </row>
    <row r="5">
      <c r="A5" s="1" t="inlineStr">
        <is>
          <t>Strike</t>
        </is>
      </c>
      <c r="B5" s="1" t="inlineStr">
        <is>
          <t>Bid</t>
        </is>
      </c>
      <c r="C5" s="1" t="inlineStr">
        <is>
          <t>Ask</t>
        </is>
      </c>
      <c r="D5" s="1" t="inlineStr">
        <is>
          <t>Last</t>
        </is>
      </c>
      <c r="E5" s="1" t="inlineStr">
        <is>
          <t>Mid</t>
        </is>
      </c>
      <c r="F5" s="1" t="inlineStr">
        <is>
          <t>Volume</t>
        </is>
      </c>
      <c r="G5" s="1" t="inlineStr">
        <is>
          <t>Open Int</t>
        </is>
      </c>
      <c r="H5" s="1" t="inlineStr">
        <is>
          <t>Impl Vol</t>
        </is>
      </c>
      <c r="I5" s="1" t="inlineStr">
        <is>
          <t>Delta</t>
        </is>
      </c>
      <c r="J5" s="2" t="inlineStr">
        <is>
          <t>Position</t>
        </is>
      </c>
      <c r="K5" s="2" t="inlineStr">
        <is>
          <t>Entry Price</t>
        </is>
      </c>
      <c r="L5" s="2" t="inlineStr">
        <is>
          <t>Value@Exp</t>
        </is>
      </c>
      <c r="M5" s="2" t="inlineStr">
        <is>
          <t>P&amp;L</t>
        </is>
      </c>
    </row>
    <row r="6">
      <c r="A6" s="8" t="n">
        <v>50</v>
      </c>
      <c r="B6" s="8" t="n">
        <v>66.84999999999999</v>
      </c>
      <c r="C6" s="8" t="n">
        <v>69.84999999999999</v>
      </c>
      <c r="D6" s="8" t="n">
        <v>66.05</v>
      </c>
      <c r="E6" s="8" t="n">
        <v>68.34999999999999</v>
      </c>
      <c r="F6" s="9" t="n">
        <v>5</v>
      </c>
      <c r="G6" s="9" t="n">
        <v>3</v>
      </c>
      <c r="H6" s="10" t="n">
        <v>5.941408823242188</v>
      </c>
      <c r="J6" s="11" t="n">
        <v>0</v>
      </c>
      <c r="K6" s="12" t="n">
        <v>68.34999999999999</v>
      </c>
      <c r="L6" s="8">
        <f>MAX($H$2-A6,0)</f>
        <v/>
      </c>
      <c r="M6" s="8">
        <f>(L6-K6)*J6*100</f>
        <v/>
      </c>
    </row>
    <row r="7">
      <c r="A7" s="8" t="n">
        <v>55</v>
      </c>
      <c r="B7" s="8" t="n">
        <v>61.85</v>
      </c>
      <c r="C7" s="8" t="n">
        <v>65.55</v>
      </c>
      <c r="D7" s="8" t="n">
        <v>35.66</v>
      </c>
      <c r="E7" s="8" t="n">
        <v>63.7</v>
      </c>
      <c r="F7" s="9" t="n">
        <v>1</v>
      </c>
      <c r="G7" s="9" t="n">
        <v>1</v>
      </c>
      <c r="H7" s="10" t="n">
        <v>6.103517995605467</v>
      </c>
      <c r="J7" s="11" t="n">
        <v>0</v>
      </c>
      <c r="K7" s="12" t="n">
        <v>63.7</v>
      </c>
      <c r="L7" s="8">
        <f>MAX($H$2-A7,0)</f>
        <v/>
      </c>
      <c r="M7" s="8">
        <f>(L7-K7)*J7*100</f>
        <v/>
      </c>
    </row>
    <row r="8">
      <c r="A8" s="8" t="n">
        <v>60</v>
      </c>
      <c r="B8" s="8" t="n">
        <v>56.85</v>
      </c>
      <c r="C8" s="8" t="n">
        <v>60.5</v>
      </c>
      <c r="D8" s="8" t="n">
        <v>59.95</v>
      </c>
      <c r="E8" s="8" t="n">
        <v>58.675</v>
      </c>
      <c r="F8" s="9" t="n">
        <v>2</v>
      </c>
      <c r="G8" s="9" t="n">
        <v>28</v>
      </c>
      <c r="H8" s="10" t="n">
        <v>5.468753164062499</v>
      </c>
      <c r="J8" s="11" t="n">
        <v>0</v>
      </c>
      <c r="K8" s="12" t="n">
        <v>58.675</v>
      </c>
      <c r="L8" s="8">
        <f>MAX($H$2-A8,0)</f>
        <v/>
      </c>
      <c r="M8" s="8">
        <f>(L8-K8)*J8*100</f>
        <v/>
      </c>
    </row>
    <row r="9">
      <c r="A9" s="8" t="n">
        <v>65</v>
      </c>
      <c r="B9" s="8" t="n">
        <v>51.85</v>
      </c>
      <c r="C9" s="8" t="n">
        <v>55.55</v>
      </c>
      <c r="D9" s="8" t="n">
        <v>32.9</v>
      </c>
      <c r="E9" s="8" t="n">
        <v>53.7</v>
      </c>
      <c r="F9" s="9" t="n">
        <v>19</v>
      </c>
      <c r="G9" s="9" t="n">
        <v>21</v>
      </c>
      <c r="H9" s="10" t="n">
        <v>4.966800666503906</v>
      </c>
      <c r="J9" s="11" t="n">
        <v>0</v>
      </c>
      <c r="K9" s="12" t="n">
        <v>53.7</v>
      </c>
      <c r="L9" s="8">
        <f>MAX($H$2-A9,0)</f>
        <v/>
      </c>
      <c r="M9" s="8">
        <f>(L9-K9)*J9*100</f>
        <v/>
      </c>
    </row>
    <row r="10">
      <c r="A10" s="8" t="n">
        <v>70</v>
      </c>
      <c r="B10" s="8" t="n">
        <v>47.25</v>
      </c>
      <c r="C10" s="8" t="n">
        <v>50.55</v>
      </c>
      <c r="D10" s="8" t="n">
        <v>28.6</v>
      </c>
      <c r="E10" s="8" t="n">
        <v>48.9</v>
      </c>
      <c r="F10" s="9" t="n">
        <v>33</v>
      </c>
      <c r="G10" s="9" t="n">
        <v>66</v>
      </c>
      <c r="H10" s="10" t="n">
        <v>4.460941923828125</v>
      </c>
      <c r="J10" s="11" t="n">
        <v>0</v>
      </c>
      <c r="K10" s="12" t="n">
        <v>48.9</v>
      </c>
      <c r="L10" s="8">
        <f>MAX($H$2-A10,0)</f>
        <v/>
      </c>
      <c r="M10" s="8">
        <f>(L10-K10)*J10*100</f>
        <v/>
      </c>
    </row>
    <row r="11">
      <c r="A11" s="8" t="n">
        <v>73</v>
      </c>
      <c r="B11" s="8" t="n">
        <v>44.25</v>
      </c>
      <c r="C11" s="8" t="n">
        <v>46.85</v>
      </c>
      <c r="D11" s="8" t="n">
        <v>44.95</v>
      </c>
      <c r="E11" s="8" t="n">
        <v>45.55</v>
      </c>
      <c r="F11" s="9" t="n">
        <v>1</v>
      </c>
      <c r="G11" s="9" t="n">
        <v>36</v>
      </c>
      <c r="H11" s="10" t="n">
        <v>3.6250009375</v>
      </c>
      <c r="J11" s="11" t="n">
        <v>0</v>
      </c>
      <c r="K11" s="12" t="n">
        <v>45.55</v>
      </c>
      <c r="L11" s="8">
        <f>MAX($H$2-A11,0)</f>
        <v/>
      </c>
      <c r="M11" s="8">
        <f>(L11-K11)*J11*100</f>
        <v/>
      </c>
    </row>
    <row r="12">
      <c r="A12" s="8" t="n">
        <v>74</v>
      </c>
      <c r="B12" s="8" t="n">
        <v>43.25</v>
      </c>
      <c r="C12" s="8" t="n">
        <v>45.85</v>
      </c>
      <c r="D12" s="8" t="n">
        <v>44.05</v>
      </c>
      <c r="E12" s="8" t="n">
        <v>44.55</v>
      </c>
      <c r="F12" s="9" t="n">
        <v>1</v>
      </c>
      <c r="G12" s="9" t="n">
        <v>28</v>
      </c>
      <c r="H12" s="10" t="n">
        <v>3.541016772460937</v>
      </c>
      <c r="J12" s="11" t="n">
        <v>0</v>
      </c>
      <c r="K12" s="12" t="n">
        <v>44.55</v>
      </c>
      <c r="L12" s="8">
        <f>MAX($H$2-A12,0)</f>
        <v/>
      </c>
      <c r="M12" s="8">
        <f>(L12-K12)*J12*100</f>
        <v/>
      </c>
    </row>
    <row r="13">
      <c r="A13" s="8" t="n">
        <v>75</v>
      </c>
      <c r="B13" s="8" t="n">
        <v>42.25</v>
      </c>
      <c r="C13" s="8" t="n">
        <v>44.85</v>
      </c>
      <c r="D13" s="8" t="n">
        <v>24.6</v>
      </c>
      <c r="E13" s="8" t="n">
        <v>43.55</v>
      </c>
      <c r="F13" s="9" t="n">
        <v>29</v>
      </c>
      <c r="G13" s="9" t="n">
        <v>54</v>
      </c>
      <c r="H13" s="10" t="n">
        <v>3.458985727539063</v>
      </c>
      <c r="J13" s="11" t="n">
        <v>0</v>
      </c>
      <c r="K13" s="12" t="n">
        <v>43.55</v>
      </c>
      <c r="L13" s="8">
        <f>MAX($H$2-A13,0)</f>
        <v/>
      </c>
      <c r="M13" s="8">
        <f>(L13-K13)*J13*100</f>
        <v/>
      </c>
    </row>
    <row r="14">
      <c r="A14" s="8" t="n">
        <v>77</v>
      </c>
      <c r="B14" s="8" t="n">
        <v>40.25</v>
      </c>
      <c r="C14" s="8" t="n">
        <v>42.85</v>
      </c>
      <c r="D14" s="8" t="n">
        <v>30.55</v>
      </c>
      <c r="E14" s="8" t="n">
        <v>41.55</v>
      </c>
      <c r="F14" s="9" t="n">
        <v>0</v>
      </c>
      <c r="G14" s="9" t="n">
        <v>2</v>
      </c>
      <c r="H14" s="10" t="n">
        <v>3.294923637695312</v>
      </c>
      <c r="J14" s="11" t="n">
        <v>0</v>
      </c>
      <c r="K14" s="12" t="n">
        <v>41.55</v>
      </c>
      <c r="L14" s="8">
        <f>MAX($H$2-A14,0)</f>
        <v/>
      </c>
      <c r="M14" s="8">
        <f>(L14-K14)*J14*100</f>
        <v/>
      </c>
    </row>
    <row r="15">
      <c r="A15" s="8" t="n">
        <v>80</v>
      </c>
      <c r="B15" s="8" t="n">
        <v>36.85</v>
      </c>
      <c r="C15" s="8" t="n">
        <v>40.55</v>
      </c>
      <c r="D15" s="8" t="n">
        <v>13.6</v>
      </c>
      <c r="E15" s="8" t="n">
        <v>38.7</v>
      </c>
      <c r="F15" s="9" t="n">
        <v>1</v>
      </c>
      <c r="G15" s="9" t="n">
        <v>0</v>
      </c>
      <c r="H15" s="10" t="n">
        <v>3.541016772460937</v>
      </c>
      <c r="J15" s="11" t="n">
        <v>0</v>
      </c>
      <c r="K15" s="12" t="n">
        <v>38.7</v>
      </c>
      <c r="L15" s="8">
        <f>MAX($H$2-A15,0)</f>
        <v/>
      </c>
      <c r="M15" s="8">
        <f>(L15-K15)*J15*100</f>
        <v/>
      </c>
    </row>
    <row r="16">
      <c r="A16" s="8" t="n">
        <v>81</v>
      </c>
      <c r="B16" s="8" t="n">
        <v>36</v>
      </c>
      <c r="C16" s="8" t="n">
        <v>39.45</v>
      </c>
      <c r="D16" s="8" t="n">
        <v>12.65</v>
      </c>
      <c r="E16" s="8" t="n">
        <v>37.725</v>
      </c>
      <c r="F16" s="9" t="n">
        <v>1</v>
      </c>
      <c r="G16" s="9" t="n">
        <v>0</v>
      </c>
      <c r="H16" s="10" t="n">
        <v>3.393556203613281</v>
      </c>
      <c r="J16" s="11" t="n">
        <v>0</v>
      </c>
      <c r="K16" s="12" t="n">
        <v>37.725</v>
      </c>
      <c r="L16" s="8">
        <f>MAX($H$2-A16,0)</f>
        <v/>
      </c>
      <c r="M16" s="8">
        <f>(L16-K16)*J16*100</f>
        <v/>
      </c>
    </row>
    <row r="17">
      <c r="A17" s="8" t="n">
        <v>82</v>
      </c>
      <c r="B17" s="8" t="n">
        <v>35.3</v>
      </c>
      <c r="C17" s="8" t="n">
        <v>37.5</v>
      </c>
      <c r="D17" s="8" t="n">
        <v>31</v>
      </c>
      <c r="E17" s="8" t="n">
        <v>36.4</v>
      </c>
      <c r="F17" s="9" t="n">
        <v>1</v>
      </c>
      <c r="G17" s="9" t="n">
        <v>6</v>
      </c>
      <c r="H17" s="10" t="n">
        <v>2.60156599609375</v>
      </c>
      <c r="J17" s="11" t="n">
        <v>0</v>
      </c>
      <c r="K17" s="12" t="n">
        <v>36.4</v>
      </c>
      <c r="L17" s="8">
        <f>MAX($H$2-A17,0)</f>
        <v/>
      </c>
      <c r="M17" s="8">
        <f>(L17-K17)*J17*100</f>
        <v/>
      </c>
    </row>
    <row r="18">
      <c r="A18" s="8" t="n">
        <v>83</v>
      </c>
      <c r="B18" s="8" t="n">
        <v>34.25</v>
      </c>
      <c r="C18" s="8" t="n">
        <v>36.6</v>
      </c>
      <c r="D18" s="8" t="n">
        <v>34.42</v>
      </c>
      <c r="E18" s="8" t="n">
        <v>35.425</v>
      </c>
      <c r="F18" s="9" t="n">
        <v>5</v>
      </c>
      <c r="G18" s="9" t="n">
        <v>2</v>
      </c>
      <c r="H18" s="10" t="n">
        <v>2.623050317382813</v>
      </c>
      <c r="J18" s="11" t="n">
        <v>0</v>
      </c>
      <c r="K18" s="12" t="n">
        <v>35.425</v>
      </c>
      <c r="L18" s="8">
        <f>MAX($H$2-A18,0)</f>
        <v/>
      </c>
      <c r="M18" s="8">
        <f>(L18-K18)*J18*100</f>
        <v/>
      </c>
    </row>
    <row r="19">
      <c r="A19" s="8" t="n">
        <v>84</v>
      </c>
      <c r="B19" s="8" t="n">
        <v>33.25</v>
      </c>
      <c r="C19" s="8" t="n">
        <v>35.6</v>
      </c>
      <c r="D19" s="8" t="n">
        <v>15.17</v>
      </c>
      <c r="E19" s="8" t="n">
        <v>34.425</v>
      </c>
      <c r="F19" s="9" t="n">
        <v>3</v>
      </c>
      <c r="G19" s="9" t="n">
        <v>5</v>
      </c>
      <c r="H19" s="10" t="n">
        <v>2.552737993164063</v>
      </c>
      <c r="J19" s="11" t="n">
        <v>0</v>
      </c>
      <c r="K19" s="12" t="n">
        <v>34.425</v>
      </c>
      <c r="L19" s="8">
        <f>MAX($H$2-A19,0)</f>
        <v/>
      </c>
      <c r="M19" s="8">
        <f>(L19-K19)*J19*100</f>
        <v/>
      </c>
    </row>
    <row r="20">
      <c r="A20" s="8" t="n">
        <v>85</v>
      </c>
      <c r="B20" s="8" t="n">
        <v>32.3</v>
      </c>
      <c r="C20" s="8" t="n">
        <v>34.65</v>
      </c>
      <c r="D20" s="8" t="n">
        <v>33.42</v>
      </c>
      <c r="E20" s="8" t="n">
        <v>33.47499999999999</v>
      </c>
      <c r="F20" s="9" t="n">
        <v>8</v>
      </c>
      <c r="G20" s="9" t="n">
        <v>22</v>
      </c>
      <c r="H20" s="10" t="n">
        <v>2.522464631347656</v>
      </c>
      <c r="J20" s="11" t="n">
        <v>0</v>
      </c>
      <c r="K20" s="12" t="n">
        <v>33.47499999999999</v>
      </c>
      <c r="L20" s="8">
        <f>MAX($H$2-A20,0)</f>
        <v/>
      </c>
      <c r="M20" s="8">
        <f>(L20-K20)*J20*100</f>
        <v/>
      </c>
    </row>
    <row r="21">
      <c r="A21" s="8" t="n">
        <v>86</v>
      </c>
      <c r="B21" s="8" t="n">
        <v>31.25</v>
      </c>
      <c r="C21" s="8" t="n">
        <v>33.55</v>
      </c>
      <c r="D21" s="8" t="n">
        <v>8.140000000000001</v>
      </c>
      <c r="E21" s="8" t="n">
        <v>32.4</v>
      </c>
      <c r="F21" s="9" t="n">
        <v>1</v>
      </c>
      <c r="G21" s="9" t="n">
        <v>4</v>
      </c>
      <c r="H21" s="10" t="n">
        <v>2.369144702148437</v>
      </c>
      <c r="J21" s="11" t="n">
        <v>0</v>
      </c>
      <c r="K21" s="12" t="n">
        <v>32.4</v>
      </c>
      <c r="L21" s="8">
        <f>MAX($H$2-A21,0)</f>
        <v/>
      </c>
      <c r="M21" s="8">
        <f>(L21-K21)*J21*100</f>
        <v/>
      </c>
    </row>
    <row r="22">
      <c r="A22" s="8" t="n">
        <v>87</v>
      </c>
      <c r="B22" s="8" t="n">
        <v>30.25</v>
      </c>
      <c r="C22" s="8" t="n">
        <v>32.6</v>
      </c>
      <c r="D22" s="8" t="n">
        <v>23.8</v>
      </c>
      <c r="E22" s="8" t="n">
        <v>31.425</v>
      </c>
      <c r="F22" s="9" t="n">
        <v>1</v>
      </c>
      <c r="G22" s="9" t="n">
        <v>12</v>
      </c>
      <c r="H22" s="10" t="n">
        <v>2.341801020507812</v>
      </c>
      <c r="J22" s="11" t="n">
        <v>0</v>
      </c>
      <c r="K22" s="12" t="n">
        <v>31.425</v>
      </c>
      <c r="L22" s="8">
        <f>MAX($H$2-A22,0)</f>
        <v/>
      </c>
      <c r="M22" s="8">
        <f>(L22-K22)*J22*100</f>
        <v/>
      </c>
    </row>
    <row r="23">
      <c r="A23" s="8" t="n">
        <v>88</v>
      </c>
      <c r="B23" s="8" t="n">
        <v>29.25</v>
      </c>
      <c r="C23" s="8" t="n">
        <v>31.6</v>
      </c>
      <c r="D23" s="8" t="n">
        <v>14.35</v>
      </c>
      <c r="E23" s="8" t="n">
        <v>30.425</v>
      </c>
      <c r="F23" s="9" t="n">
        <v>2</v>
      </c>
      <c r="G23" s="9" t="n">
        <v>3</v>
      </c>
      <c r="H23" s="10" t="n">
        <v>2.271488696289063</v>
      </c>
      <c r="J23" s="11" t="n">
        <v>0</v>
      </c>
      <c r="K23" s="12" t="n">
        <v>30.425</v>
      </c>
      <c r="L23" s="8">
        <f>MAX($H$2-A23,0)</f>
        <v/>
      </c>
      <c r="M23" s="8">
        <f>(L23-K23)*J23*100</f>
        <v/>
      </c>
    </row>
    <row r="24">
      <c r="A24" s="8" t="n">
        <v>89</v>
      </c>
      <c r="B24" s="8" t="n">
        <v>28.3</v>
      </c>
      <c r="C24" s="8" t="n">
        <v>30.6</v>
      </c>
      <c r="D24" s="8" t="n">
        <v>24.07</v>
      </c>
      <c r="E24" s="8" t="n">
        <v>29.45</v>
      </c>
      <c r="F24" s="9" t="n">
        <v>10</v>
      </c>
      <c r="G24" s="9" t="n">
        <v>26</v>
      </c>
      <c r="H24" s="10" t="n">
        <v>2.203129492187499</v>
      </c>
      <c r="J24" s="11" t="n">
        <v>0</v>
      </c>
      <c r="K24" s="12" t="n">
        <v>29.45</v>
      </c>
      <c r="L24" s="8">
        <f>MAX($H$2-A24,0)</f>
        <v/>
      </c>
      <c r="M24" s="8">
        <f>(L24-K24)*J24*100</f>
        <v/>
      </c>
    </row>
    <row r="25">
      <c r="A25" s="8" t="n">
        <v>90</v>
      </c>
      <c r="B25" s="8" t="n">
        <v>27.3</v>
      </c>
      <c r="C25" s="8" t="n">
        <v>29.6</v>
      </c>
      <c r="D25" s="8" t="n">
        <v>27.34</v>
      </c>
      <c r="E25" s="8" t="n">
        <v>28.45</v>
      </c>
      <c r="F25" s="9" t="n">
        <v>6</v>
      </c>
      <c r="G25" s="9" t="n">
        <v>39</v>
      </c>
      <c r="H25" s="10" t="n">
        <v>2.134770288085937</v>
      </c>
      <c r="J25" s="11" t="n">
        <v>0</v>
      </c>
      <c r="K25" s="12" t="n">
        <v>28.45</v>
      </c>
      <c r="L25" s="8">
        <f>MAX($H$2-A25,0)</f>
        <v/>
      </c>
      <c r="M25" s="8">
        <f>(L25-K25)*J25*100</f>
        <v/>
      </c>
    </row>
    <row r="26">
      <c r="A26" s="8" t="n">
        <v>91</v>
      </c>
      <c r="B26" s="8" t="n">
        <v>26.1</v>
      </c>
      <c r="C26" s="8" t="n">
        <v>28.6</v>
      </c>
      <c r="D26" s="8" t="n">
        <v>26.6</v>
      </c>
      <c r="E26" s="8" t="n">
        <v>27.35</v>
      </c>
      <c r="F26" s="9" t="n">
        <v>5</v>
      </c>
      <c r="G26" s="9" t="n">
        <v>4</v>
      </c>
      <c r="H26" s="10" t="n">
        <v>2.067387644042968</v>
      </c>
      <c r="J26" s="11" t="n">
        <v>0</v>
      </c>
      <c r="K26" s="12" t="n">
        <v>27.35</v>
      </c>
      <c r="L26" s="8">
        <f>MAX($H$2-A26,0)</f>
        <v/>
      </c>
      <c r="M26" s="8">
        <f>(L26-K26)*J26*100</f>
        <v/>
      </c>
    </row>
    <row r="27">
      <c r="A27" s="8" t="n">
        <v>92</v>
      </c>
      <c r="B27" s="8" t="n">
        <v>25.25</v>
      </c>
      <c r="C27" s="8" t="n">
        <v>27.8</v>
      </c>
      <c r="D27" s="8" t="n">
        <v>17.33</v>
      </c>
      <c r="E27" s="8" t="n">
        <v>26.525</v>
      </c>
      <c r="F27" s="9" t="n">
        <v>5</v>
      </c>
      <c r="G27" s="9" t="n">
        <v>18</v>
      </c>
      <c r="H27" s="10" t="n">
        <v>2.135746848144531</v>
      </c>
      <c r="J27" s="11" t="n">
        <v>0</v>
      </c>
      <c r="K27" s="12" t="n">
        <v>26.525</v>
      </c>
      <c r="L27" s="8">
        <f>MAX($H$2-A27,0)</f>
        <v/>
      </c>
      <c r="M27" s="8">
        <f>(L27-K27)*J27*100</f>
        <v/>
      </c>
    </row>
    <row r="28">
      <c r="A28" s="8" t="n">
        <v>93</v>
      </c>
      <c r="B28" s="8" t="n">
        <v>24.3</v>
      </c>
      <c r="C28" s="8" t="n">
        <v>26.6</v>
      </c>
      <c r="D28" s="8" t="n">
        <v>20.26</v>
      </c>
      <c r="E28" s="8" t="n">
        <v>25.45</v>
      </c>
      <c r="F28" s="9" t="n">
        <v>2</v>
      </c>
      <c r="G28" s="9" t="n">
        <v>30</v>
      </c>
      <c r="H28" s="10" t="n">
        <v>1.93359408203125</v>
      </c>
      <c r="J28" s="11" t="n">
        <v>0</v>
      </c>
      <c r="K28" s="12" t="n">
        <v>25.45</v>
      </c>
      <c r="L28" s="8">
        <f>MAX($H$2-A28,0)</f>
        <v/>
      </c>
      <c r="M28" s="8">
        <f>(L28-K28)*J28*100</f>
        <v/>
      </c>
    </row>
    <row r="29">
      <c r="A29" s="8" t="n">
        <v>94</v>
      </c>
      <c r="B29" s="8" t="n">
        <v>23.25</v>
      </c>
      <c r="C29" s="8" t="n">
        <v>25.6</v>
      </c>
      <c r="D29" s="8" t="n">
        <v>16.52</v>
      </c>
      <c r="E29" s="8" t="n">
        <v>24.425</v>
      </c>
      <c r="F29" s="9" t="n">
        <v>10</v>
      </c>
      <c r="G29" s="9" t="n">
        <v>10</v>
      </c>
      <c r="H29" s="10" t="n">
        <v>1.8671881640625</v>
      </c>
      <c r="J29" s="11" t="n">
        <v>0</v>
      </c>
      <c r="K29" s="12" t="n">
        <v>24.425</v>
      </c>
      <c r="L29" s="8">
        <f>MAX($H$2-A29,0)</f>
        <v/>
      </c>
      <c r="M29" s="8">
        <f>(L29-K29)*J29*100</f>
        <v/>
      </c>
    </row>
    <row r="30">
      <c r="A30" s="8" t="n">
        <v>95</v>
      </c>
      <c r="B30" s="8" t="n">
        <v>22.3</v>
      </c>
      <c r="C30" s="8" t="n">
        <v>24.6</v>
      </c>
      <c r="D30" s="8" t="n">
        <v>22.98</v>
      </c>
      <c r="E30" s="8" t="n">
        <v>23.45</v>
      </c>
      <c r="F30" s="9" t="n">
        <v>11</v>
      </c>
      <c r="G30" s="9" t="n">
        <v>115</v>
      </c>
      <c r="H30" s="10" t="n">
        <v>1.80078224609375</v>
      </c>
      <c r="J30" s="11" t="n">
        <v>0</v>
      </c>
      <c r="K30" s="12" t="n">
        <v>23.45</v>
      </c>
      <c r="L30" s="8">
        <f>MAX($H$2-A30,0)</f>
        <v/>
      </c>
      <c r="M30" s="8">
        <f>(L30-K30)*J30*100</f>
        <v/>
      </c>
    </row>
    <row r="31">
      <c r="A31" s="8" t="n">
        <v>96</v>
      </c>
      <c r="B31" s="8" t="n">
        <v>21.3</v>
      </c>
      <c r="C31" s="8" t="n">
        <v>23.55</v>
      </c>
      <c r="D31" s="8" t="n">
        <v>22.24</v>
      </c>
      <c r="E31" s="8" t="n">
        <v>22.425</v>
      </c>
      <c r="F31" s="9" t="n">
        <v>9</v>
      </c>
      <c r="G31" s="9" t="n">
        <v>82</v>
      </c>
      <c r="H31" s="10" t="n">
        <v>1.702149926757813</v>
      </c>
      <c r="J31" s="11" t="n">
        <v>0</v>
      </c>
      <c r="K31" s="12" t="n">
        <v>22.425</v>
      </c>
      <c r="L31" s="8">
        <f>MAX($H$2-A31,0)</f>
        <v/>
      </c>
      <c r="M31" s="8">
        <f>(L31-K31)*J31*100</f>
        <v/>
      </c>
    </row>
    <row r="32">
      <c r="A32" s="8" t="n">
        <v>97</v>
      </c>
      <c r="B32" s="8" t="n">
        <v>20.3</v>
      </c>
      <c r="C32" s="8" t="n">
        <v>22.6</v>
      </c>
      <c r="D32" s="8" t="n">
        <v>14.2</v>
      </c>
      <c r="E32" s="8" t="n">
        <v>21.45</v>
      </c>
      <c r="F32" s="9" t="n">
        <v>2</v>
      </c>
      <c r="G32" s="9" t="n">
        <v>11</v>
      </c>
      <c r="H32" s="10" t="n">
        <v>1.669923525390625</v>
      </c>
      <c r="J32" s="11" t="n">
        <v>0</v>
      </c>
      <c r="K32" s="12" t="n">
        <v>21.45</v>
      </c>
      <c r="L32" s="8">
        <f>MAX($H$2-A32,0)</f>
        <v/>
      </c>
      <c r="M32" s="8">
        <f>(L32-K32)*J32*100</f>
        <v/>
      </c>
    </row>
    <row r="33">
      <c r="A33" s="8" t="n">
        <v>98</v>
      </c>
      <c r="B33" s="8" t="n">
        <v>19.3</v>
      </c>
      <c r="C33" s="8" t="n">
        <v>21.6</v>
      </c>
      <c r="D33" s="8" t="n">
        <v>16.08</v>
      </c>
      <c r="E33" s="8" t="n">
        <v>20.45</v>
      </c>
      <c r="F33" s="9" t="n">
        <v>2</v>
      </c>
      <c r="G33" s="9" t="n">
        <v>83</v>
      </c>
      <c r="H33" s="10" t="n">
        <v>1.60547072265625</v>
      </c>
      <c r="J33" s="11" t="n">
        <v>0</v>
      </c>
      <c r="K33" s="12" t="n">
        <v>20.45</v>
      </c>
      <c r="L33" s="8">
        <f>MAX($H$2-A33,0)</f>
        <v/>
      </c>
      <c r="M33" s="8">
        <f>(L33-K33)*J33*100</f>
        <v/>
      </c>
    </row>
    <row r="34">
      <c r="A34" s="8" t="n">
        <v>99</v>
      </c>
      <c r="B34" s="8" t="n">
        <v>18.3</v>
      </c>
      <c r="C34" s="8" t="n">
        <v>20.6</v>
      </c>
      <c r="D34" s="8" t="n">
        <v>14.86</v>
      </c>
      <c r="E34" s="8" t="n">
        <v>19.45</v>
      </c>
      <c r="F34" s="9" t="n">
        <v>1</v>
      </c>
      <c r="G34" s="9" t="n">
        <v>49</v>
      </c>
      <c r="H34" s="10" t="n">
        <v>1.541017919921875</v>
      </c>
      <c r="J34" s="11" t="n">
        <v>0</v>
      </c>
      <c r="K34" s="12" t="n">
        <v>19.45</v>
      </c>
      <c r="L34" s="8">
        <f>MAX($H$2-A34,0)</f>
        <v/>
      </c>
      <c r="M34" s="8">
        <f>(L34-K34)*J34*100</f>
        <v/>
      </c>
    </row>
    <row r="35">
      <c r="A35" s="8" t="n">
        <v>100</v>
      </c>
      <c r="B35" s="8" t="n">
        <v>17.3</v>
      </c>
      <c r="C35" s="8" t="n">
        <v>19.6</v>
      </c>
      <c r="D35" s="8" t="n">
        <v>15.3</v>
      </c>
      <c r="E35" s="8" t="n">
        <v>18.45</v>
      </c>
      <c r="F35" s="9" t="n">
        <v>15</v>
      </c>
      <c r="G35" s="9" t="n">
        <v>108</v>
      </c>
      <c r="H35" s="10" t="n">
        <v>1.4765651171875</v>
      </c>
      <c r="J35" s="11" t="n">
        <v>0</v>
      </c>
      <c r="K35" s="12" t="n">
        <v>18.45</v>
      </c>
      <c r="L35" s="8">
        <f>MAX($H$2-A35,0)</f>
        <v/>
      </c>
      <c r="M35" s="8">
        <f>(L35-K35)*J35*100</f>
        <v/>
      </c>
    </row>
    <row r="36">
      <c r="A36" s="8" t="n">
        <v>101</v>
      </c>
      <c r="B36" s="8" t="n">
        <v>15.95</v>
      </c>
      <c r="C36" s="8" t="n">
        <v>18.6</v>
      </c>
      <c r="D36" s="8" t="n">
        <v>17.5</v>
      </c>
      <c r="E36" s="8" t="n">
        <v>17.275</v>
      </c>
      <c r="F36" s="9" t="n">
        <v>1</v>
      </c>
      <c r="G36" s="9" t="n">
        <v>88</v>
      </c>
      <c r="H36" s="10" t="n">
        <v>1.412112314453125</v>
      </c>
      <c r="J36" s="11" t="n">
        <v>0</v>
      </c>
      <c r="K36" s="12" t="n">
        <v>17.275</v>
      </c>
      <c r="L36" s="8">
        <f>MAX($H$2-A36,0)</f>
        <v/>
      </c>
      <c r="M36" s="8">
        <f>(L36-K36)*J36*100</f>
        <v/>
      </c>
    </row>
    <row r="37">
      <c r="A37" s="8" t="n">
        <v>102</v>
      </c>
      <c r="B37" s="8" t="n">
        <v>15.1</v>
      </c>
      <c r="C37" s="8" t="n">
        <v>17.6</v>
      </c>
      <c r="D37" s="8" t="n">
        <v>16.5</v>
      </c>
      <c r="E37" s="8" t="n">
        <v>16.35</v>
      </c>
      <c r="F37" s="9" t="n">
        <v>1</v>
      </c>
      <c r="G37" s="9" t="n">
        <v>28</v>
      </c>
      <c r="H37" s="10" t="n">
        <v>1.34765951171875</v>
      </c>
      <c r="J37" s="11" t="n">
        <v>0</v>
      </c>
      <c r="K37" s="12" t="n">
        <v>16.35</v>
      </c>
      <c r="L37" s="8">
        <f>MAX($H$2-A37,0)</f>
        <v/>
      </c>
      <c r="M37" s="8">
        <f>(L37-K37)*J37*100</f>
        <v/>
      </c>
    </row>
    <row r="38">
      <c r="A38" s="8" t="n">
        <v>103</v>
      </c>
      <c r="B38" s="8" t="n">
        <v>14.2</v>
      </c>
      <c r="C38" s="8" t="n">
        <v>16.2</v>
      </c>
      <c r="D38" s="8" t="n">
        <v>14.6</v>
      </c>
      <c r="E38" s="8" t="n">
        <v>15.2</v>
      </c>
      <c r="F38" s="9" t="n">
        <v>10</v>
      </c>
      <c r="G38" s="9" t="n">
        <v>70</v>
      </c>
      <c r="H38" s="10" t="n">
        <v>1.025395498046875</v>
      </c>
      <c r="J38" s="11" t="n">
        <v>0</v>
      </c>
      <c r="K38" s="12" t="n">
        <v>15.2</v>
      </c>
      <c r="L38" s="8">
        <f>MAX($H$2-A38,0)</f>
        <v/>
      </c>
      <c r="M38" s="8">
        <f>(L38-K38)*J38*100</f>
        <v/>
      </c>
    </row>
    <row r="39">
      <c r="A39" s="8" t="n">
        <v>104</v>
      </c>
      <c r="B39" s="8" t="n">
        <v>13.1</v>
      </c>
      <c r="C39" s="8" t="n">
        <v>15.6</v>
      </c>
      <c r="D39" s="8" t="n">
        <v>14.3</v>
      </c>
      <c r="E39" s="8" t="n">
        <v>14.35</v>
      </c>
      <c r="F39" s="9" t="n">
        <v>1</v>
      </c>
      <c r="G39" s="9" t="n">
        <v>27</v>
      </c>
      <c r="H39" s="10" t="n">
        <v>1.21875390625</v>
      </c>
      <c r="J39" s="11" t="n">
        <v>0</v>
      </c>
      <c r="K39" s="12" t="n">
        <v>14.35</v>
      </c>
      <c r="L39" s="8">
        <f>MAX($H$2-A39,0)</f>
        <v/>
      </c>
      <c r="M39" s="8">
        <f>(L39-K39)*J39*100</f>
        <v/>
      </c>
    </row>
    <row r="40">
      <c r="A40" s="8" t="n">
        <v>105</v>
      </c>
      <c r="B40" s="8" t="n">
        <v>11.95</v>
      </c>
      <c r="C40" s="8" t="n">
        <v>14.6</v>
      </c>
      <c r="D40" s="8" t="n">
        <v>14</v>
      </c>
      <c r="E40" s="8" t="n">
        <v>13.275</v>
      </c>
      <c r="F40" s="9" t="n">
        <v>3</v>
      </c>
      <c r="G40" s="9" t="n">
        <v>184</v>
      </c>
      <c r="H40" s="10" t="n">
        <v>1.155277661132812</v>
      </c>
      <c r="J40" s="11" t="n">
        <v>0</v>
      </c>
      <c r="K40" s="12" t="n">
        <v>13.275</v>
      </c>
      <c r="L40" s="8">
        <f>MAX($H$2-A40,0)</f>
        <v/>
      </c>
      <c r="M40" s="8">
        <f>(L40-K40)*J40*100</f>
        <v/>
      </c>
    </row>
    <row r="41">
      <c r="A41" s="8" t="n">
        <v>106</v>
      </c>
      <c r="B41" s="8" t="n">
        <v>11.35</v>
      </c>
      <c r="C41" s="8" t="n">
        <v>13.45</v>
      </c>
      <c r="D41" s="8" t="n">
        <v>13.05</v>
      </c>
      <c r="E41" s="8" t="n">
        <v>12.4</v>
      </c>
      <c r="F41" s="9" t="n">
        <v>1</v>
      </c>
      <c r="G41" s="9" t="n">
        <v>68</v>
      </c>
      <c r="H41" s="10" t="n">
        <v>1.013676806640625</v>
      </c>
      <c r="J41" s="11" t="n">
        <v>0</v>
      </c>
      <c r="K41" s="12" t="n">
        <v>12.4</v>
      </c>
      <c r="L41" s="8">
        <f>MAX($H$2-A41,0)</f>
        <v/>
      </c>
      <c r="M41" s="8">
        <f>(L41-K41)*J41*100</f>
        <v/>
      </c>
    </row>
    <row r="42">
      <c r="A42" s="8" t="n">
        <v>107</v>
      </c>
      <c r="B42" s="8" t="n">
        <v>10.45</v>
      </c>
      <c r="C42" s="8" t="n">
        <v>12.35</v>
      </c>
      <c r="D42" s="8" t="n">
        <v>10.6</v>
      </c>
      <c r="E42" s="8" t="n">
        <v>11.4</v>
      </c>
      <c r="F42" s="9" t="n">
        <v>13</v>
      </c>
      <c r="G42" s="9" t="n">
        <v>51</v>
      </c>
      <c r="H42" s="10" t="n">
        <v>0.8984385156249999</v>
      </c>
      <c r="J42" s="11" t="n">
        <v>0</v>
      </c>
      <c r="K42" s="12" t="n">
        <v>11.4</v>
      </c>
      <c r="L42" s="8">
        <f>MAX($H$2-A42,0)</f>
        <v/>
      </c>
      <c r="M42" s="8">
        <f>(L42-K42)*J42*100</f>
        <v/>
      </c>
    </row>
    <row r="43">
      <c r="A43" s="8" t="n">
        <v>108</v>
      </c>
      <c r="B43" s="8" t="n">
        <v>9.35</v>
      </c>
      <c r="C43" s="8" t="n">
        <v>11.7</v>
      </c>
      <c r="D43" s="8" t="n">
        <v>10.7</v>
      </c>
      <c r="E43" s="8" t="n">
        <v>10.525</v>
      </c>
      <c r="F43" s="9" t="n">
        <v>1</v>
      </c>
      <c r="G43" s="9" t="n">
        <v>183</v>
      </c>
      <c r="H43" s="10" t="n">
        <v>1.005864345703125</v>
      </c>
      <c r="J43" s="11" t="n">
        <v>0</v>
      </c>
      <c r="K43" s="12" t="n">
        <v>10.525</v>
      </c>
      <c r="L43" s="8">
        <f>MAX($H$2-A43,0)</f>
        <v/>
      </c>
      <c r="M43" s="8">
        <f>(L43-K43)*J43*100</f>
        <v/>
      </c>
    </row>
    <row r="44">
      <c r="A44" s="8" t="n">
        <v>109</v>
      </c>
      <c r="B44" s="8" t="n">
        <v>8.4</v>
      </c>
      <c r="C44" s="8" t="n">
        <v>10.75</v>
      </c>
      <c r="D44" s="8" t="n">
        <v>7.39</v>
      </c>
      <c r="E44" s="8" t="n">
        <v>9.574999999999999</v>
      </c>
      <c r="F44" s="9" t="n">
        <v>2</v>
      </c>
      <c r="G44" s="9" t="n">
        <v>126</v>
      </c>
      <c r="H44" s="10" t="n">
        <v>0.9589847851562499</v>
      </c>
      <c r="J44" s="11" t="n">
        <v>0</v>
      </c>
      <c r="K44" s="12" t="n">
        <v>9.574999999999999</v>
      </c>
      <c r="L44" s="8">
        <f>MAX($H$2-A44,0)</f>
        <v/>
      </c>
      <c r="M44" s="8">
        <f>(L44-K44)*J44*100</f>
        <v/>
      </c>
    </row>
    <row r="45">
      <c r="A45" s="8" t="n">
        <v>110</v>
      </c>
      <c r="B45" s="8" t="n">
        <v>7.9</v>
      </c>
      <c r="C45" s="8" t="n">
        <v>9.6</v>
      </c>
      <c r="D45" s="8" t="n">
        <v>9.449999999999999</v>
      </c>
      <c r="E45" s="8" t="n">
        <v>8.75</v>
      </c>
      <c r="F45" s="9" t="n">
        <v>20</v>
      </c>
      <c r="G45" s="9" t="n">
        <v>400</v>
      </c>
      <c r="H45" s="10" t="n">
        <v>0.831056376953125</v>
      </c>
      <c r="J45" s="11" t="n">
        <v>0</v>
      </c>
      <c r="K45" s="12" t="n">
        <v>8.75</v>
      </c>
      <c r="L45" s="8">
        <f>MAX($H$2-A45,0)</f>
        <v/>
      </c>
      <c r="M45" s="8">
        <f>(L45-K45)*J45*100</f>
        <v/>
      </c>
    </row>
    <row r="46">
      <c r="A46" s="8" t="n">
        <v>111</v>
      </c>
      <c r="B46" s="8" t="n">
        <v>6.5</v>
      </c>
      <c r="C46" s="8" t="n">
        <v>8.85</v>
      </c>
      <c r="D46" s="8" t="n">
        <v>9.5</v>
      </c>
      <c r="E46" s="8" t="n">
        <v>7.675</v>
      </c>
      <c r="F46" s="9" t="n">
        <v>9</v>
      </c>
      <c r="G46" s="9" t="n">
        <v>195</v>
      </c>
      <c r="H46" s="10" t="n">
        <v>0.858399853515625</v>
      </c>
      <c r="J46" s="11" t="n">
        <v>0</v>
      </c>
      <c r="K46" s="12" t="n">
        <v>7.675</v>
      </c>
      <c r="L46" s="8">
        <f>MAX($H$2-A46,0)</f>
        <v/>
      </c>
      <c r="M46" s="8">
        <f>(L46-K46)*J46*100</f>
        <v/>
      </c>
    </row>
    <row r="47">
      <c r="A47" s="8" t="n">
        <v>112</v>
      </c>
      <c r="B47" s="8" t="n">
        <v>5.55</v>
      </c>
      <c r="C47" s="8" t="n">
        <v>7.95</v>
      </c>
      <c r="D47" s="8" t="n">
        <v>7.25</v>
      </c>
      <c r="E47" s="8" t="n">
        <v>6.75</v>
      </c>
      <c r="F47" s="9" t="n">
        <v>1</v>
      </c>
      <c r="G47" s="9" t="n">
        <v>153</v>
      </c>
      <c r="H47" s="10" t="n">
        <v>0.8208025732421874</v>
      </c>
      <c r="J47" s="11" t="n">
        <v>0</v>
      </c>
      <c r="K47" s="12" t="n">
        <v>6.75</v>
      </c>
      <c r="L47" s="8">
        <f>MAX($H$2-A47,0)</f>
        <v/>
      </c>
      <c r="M47" s="8">
        <f>(L47-K47)*J47*100</f>
        <v/>
      </c>
    </row>
    <row r="48">
      <c r="A48" s="8" t="n">
        <v>113</v>
      </c>
      <c r="B48" s="8" t="n">
        <v>4.65</v>
      </c>
      <c r="C48" s="8" t="n">
        <v>6.95</v>
      </c>
      <c r="D48" s="8" t="n">
        <v>7</v>
      </c>
      <c r="E48" s="8" t="n">
        <v>5.800000000000001</v>
      </c>
      <c r="F48" s="9" t="n">
        <v>4</v>
      </c>
      <c r="G48" s="9" t="n">
        <v>99</v>
      </c>
      <c r="H48" s="10" t="n">
        <v>0.7470728417968751</v>
      </c>
      <c r="J48" s="11" t="n">
        <v>0</v>
      </c>
      <c r="K48" s="12" t="n">
        <v>5.800000000000001</v>
      </c>
      <c r="L48" s="8">
        <f>MAX($H$2-A48,0)</f>
        <v/>
      </c>
      <c r="M48" s="8">
        <f>(L48-K48)*J48*100</f>
        <v/>
      </c>
    </row>
    <row r="49">
      <c r="A49" s="8" t="n">
        <v>114</v>
      </c>
      <c r="B49" s="8" t="n">
        <v>3.85</v>
      </c>
      <c r="C49" s="8" t="n">
        <v>6.1</v>
      </c>
      <c r="D49" s="8" t="n">
        <v>6.75</v>
      </c>
      <c r="E49" s="8" t="n">
        <v>4.975</v>
      </c>
      <c r="F49" s="9" t="n">
        <v>19</v>
      </c>
      <c r="G49" s="9" t="n">
        <v>365</v>
      </c>
      <c r="H49" s="10" t="n">
        <v>0.7158231542968749</v>
      </c>
      <c r="J49" s="11" t="n">
        <v>0</v>
      </c>
      <c r="K49" s="12" t="n">
        <v>4.975</v>
      </c>
      <c r="L49" s="8">
        <f>MAX($H$2-A49,0)</f>
        <v/>
      </c>
      <c r="M49" s="8">
        <f>(L49-K49)*J49*100</f>
        <v/>
      </c>
    </row>
    <row r="50">
      <c r="A50" s="8" t="n">
        <v>115</v>
      </c>
      <c r="B50" s="8" t="n">
        <v>4.05</v>
      </c>
      <c r="C50" s="8" t="n">
        <v>5.2</v>
      </c>
      <c r="D50" s="8" t="n">
        <v>4</v>
      </c>
      <c r="E50" s="8" t="n">
        <v>4.625</v>
      </c>
      <c r="F50" s="9" t="n">
        <v>21</v>
      </c>
      <c r="G50" s="9" t="n">
        <v>365</v>
      </c>
      <c r="H50" s="10" t="n">
        <v>0.6640658593750002</v>
      </c>
      <c r="J50" s="11" t="n">
        <v>0</v>
      </c>
      <c r="K50" s="12" t="n">
        <v>4.625</v>
      </c>
      <c r="L50" s="8">
        <f>MAX($H$2-A50,0)</f>
        <v/>
      </c>
      <c r="M50" s="8">
        <f>(L50-K50)*J50*100</f>
        <v/>
      </c>
    </row>
    <row r="51">
      <c r="A51" s="8" t="n">
        <v>116</v>
      </c>
      <c r="B51" s="8" t="n">
        <v>3.3</v>
      </c>
      <c r="C51" s="8" t="n">
        <v>4.5</v>
      </c>
      <c r="D51" s="8" t="n">
        <v>3.25</v>
      </c>
      <c r="E51" s="8" t="n">
        <v>3.9</v>
      </c>
      <c r="F51" s="9" t="n">
        <v>6</v>
      </c>
      <c r="G51" s="9" t="n">
        <v>254</v>
      </c>
      <c r="H51" s="10" t="n">
        <v>0.6577182666015625</v>
      </c>
      <c r="J51" s="11" t="n">
        <v>0</v>
      </c>
      <c r="K51" s="12" t="n">
        <v>3.9</v>
      </c>
      <c r="L51" s="8">
        <f>MAX($H$2-A51,0)</f>
        <v/>
      </c>
      <c r="M51" s="8">
        <f>(L51-K51)*J51*100</f>
        <v/>
      </c>
    </row>
    <row r="52">
      <c r="A52" s="8" t="n">
        <v>117</v>
      </c>
      <c r="B52" s="8" t="n">
        <v>2.75</v>
      </c>
      <c r="C52" s="8" t="n">
        <v>3.75</v>
      </c>
      <c r="D52" s="8" t="n">
        <v>2.43</v>
      </c>
      <c r="E52" s="8" t="n">
        <v>3.25</v>
      </c>
      <c r="F52" s="9" t="n">
        <v>13</v>
      </c>
      <c r="G52" s="9" t="n">
        <v>220</v>
      </c>
      <c r="H52" s="10" t="n">
        <v>0.5034229345703125</v>
      </c>
      <c r="J52" s="11" t="n">
        <v>0</v>
      </c>
      <c r="K52" s="12" t="n">
        <v>3.25</v>
      </c>
      <c r="L52" s="8">
        <f>MAX($H$2-A52,0)</f>
        <v/>
      </c>
      <c r="M52" s="8">
        <f>(L52-K52)*J52*100</f>
        <v/>
      </c>
    </row>
    <row r="53">
      <c r="A53" s="8" t="n">
        <v>118</v>
      </c>
      <c r="B53" s="8" t="n">
        <v>2.22</v>
      </c>
      <c r="C53" s="8" t="n">
        <v>2.69</v>
      </c>
      <c r="D53" s="8" t="n">
        <v>2.42</v>
      </c>
      <c r="E53" s="8" t="n">
        <v>2.455</v>
      </c>
      <c r="F53" s="9" t="n">
        <v>165</v>
      </c>
      <c r="G53" s="9" t="n">
        <v>422</v>
      </c>
      <c r="H53" s="10" t="n">
        <v>0.5122119091796875</v>
      </c>
      <c r="J53" s="11" t="n">
        <v>0</v>
      </c>
      <c r="K53" s="12" t="n">
        <v>2.455</v>
      </c>
      <c r="L53" s="8">
        <f>MAX($H$2-A53,0)</f>
        <v/>
      </c>
      <c r="M53" s="8">
        <f>(L53-K53)*J53*100</f>
        <v/>
      </c>
    </row>
    <row r="54">
      <c r="A54" s="8" t="n">
        <v>119</v>
      </c>
      <c r="B54" s="8" t="n">
        <v>1.74</v>
      </c>
      <c r="C54" s="8" t="n">
        <v>2.1</v>
      </c>
      <c r="D54" s="8" t="n">
        <v>1.5</v>
      </c>
      <c r="E54" s="8" t="n">
        <v>1.92</v>
      </c>
      <c r="F54" s="9" t="n">
        <v>30</v>
      </c>
      <c r="G54" s="9" t="n">
        <v>63</v>
      </c>
      <c r="H54" s="10" t="n">
        <v>0.4960987890625</v>
      </c>
      <c r="J54" s="11" t="n">
        <v>0</v>
      </c>
      <c r="K54" s="12" t="n">
        <v>1.92</v>
      </c>
      <c r="L54" s="8">
        <f>MAX($H$2-A54,0)</f>
        <v/>
      </c>
      <c r="M54" s="8">
        <f>(L54-K54)*J54*100</f>
        <v/>
      </c>
    </row>
    <row r="55">
      <c r="A55" s="8" t="n">
        <v>120</v>
      </c>
      <c r="B55" s="8" t="n">
        <v>1.28</v>
      </c>
      <c r="C55" s="8" t="n">
        <v>1.65</v>
      </c>
      <c r="D55" s="8" t="n">
        <v>1.5</v>
      </c>
      <c r="E55" s="8" t="n">
        <v>1.465</v>
      </c>
      <c r="F55" s="9" t="n">
        <v>224</v>
      </c>
      <c r="G55" s="9" t="n">
        <v>474</v>
      </c>
      <c r="H55" s="10" t="n">
        <v>0.4960987890625</v>
      </c>
      <c r="J55" s="11" t="n">
        <v>0</v>
      </c>
      <c r="K55" s="12" t="n">
        <v>1.465</v>
      </c>
      <c r="L55" s="8">
        <f>MAX($H$2-A55,0)</f>
        <v/>
      </c>
      <c r="M55" s="8">
        <f>(L55-K55)*J55*100</f>
        <v/>
      </c>
    </row>
    <row r="56">
      <c r="A56" s="8" t="n">
        <v>121</v>
      </c>
      <c r="B56" s="8" t="n">
        <v>0.9</v>
      </c>
      <c r="C56" s="8" t="n">
        <v>1.43</v>
      </c>
      <c r="D56" s="8" t="n">
        <v>1.08</v>
      </c>
      <c r="E56" s="8" t="n">
        <v>1.165</v>
      </c>
      <c r="F56" s="9" t="n">
        <v>71</v>
      </c>
      <c r="G56" s="9" t="n">
        <v>52</v>
      </c>
      <c r="H56" s="10" t="n">
        <v>0.5346726220703125</v>
      </c>
      <c r="J56" s="11" t="n">
        <v>0</v>
      </c>
      <c r="K56" s="12" t="n">
        <v>1.165</v>
      </c>
      <c r="L56" s="8">
        <f>MAX($H$2-A56,0)</f>
        <v/>
      </c>
      <c r="M56" s="8">
        <f>(L56-K56)*J56*100</f>
        <v/>
      </c>
    </row>
    <row r="57">
      <c r="A57" s="8" t="n">
        <v>122</v>
      </c>
      <c r="B57" s="8" t="n">
        <v>0.82</v>
      </c>
      <c r="C57" s="8" t="n">
        <v>0.97</v>
      </c>
      <c r="D57" s="8" t="n">
        <v>1.11</v>
      </c>
      <c r="E57" s="8" t="n">
        <v>0.895</v>
      </c>
      <c r="F57" s="9" t="n">
        <v>84</v>
      </c>
      <c r="G57" s="9" t="n">
        <v>138</v>
      </c>
      <c r="H57" s="10" t="n">
        <v>0.4975636181640626</v>
      </c>
      <c r="J57" s="11" t="n">
        <v>0</v>
      </c>
      <c r="K57" s="12" t="n">
        <v>0.895</v>
      </c>
      <c r="L57" s="8">
        <f>MAX($H$2-A57,0)</f>
        <v/>
      </c>
      <c r="M57" s="8">
        <f>(L57-K57)*J57*100</f>
        <v/>
      </c>
    </row>
    <row r="58">
      <c r="A58" s="8" t="n">
        <v>123</v>
      </c>
      <c r="B58" s="8" t="n">
        <v>0.53</v>
      </c>
      <c r="C58" s="8" t="n">
        <v>0.77</v>
      </c>
      <c r="D58" s="8" t="n">
        <v>0.72</v>
      </c>
      <c r="E58" s="8" t="n">
        <v>0.65</v>
      </c>
      <c r="F58" s="9" t="n">
        <v>16</v>
      </c>
      <c r="G58" s="9" t="n">
        <v>136</v>
      </c>
      <c r="H58" s="10" t="n">
        <v>0.5122119091796875</v>
      </c>
      <c r="J58" s="11" t="n">
        <v>0</v>
      </c>
      <c r="K58" s="12" t="n">
        <v>0.65</v>
      </c>
      <c r="L58" s="8">
        <f>MAX($H$2-A58,0)</f>
        <v/>
      </c>
      <c r="M58" s="8">
        <f>(L58-K58)*J58*100</f>
        <v/>
      </c>
    </row>
    <row r="59">
      <c r="A59" s="8" t="n">
        <v>124</v>
      </c>
      <c r="B59" s="8" t="n">
        <v>0.27</v>
      </c>
      <c r="C59" s="8" t="n">
        <v>0.59</v>
      </c>
      <c r="D59" s="8" t="n">
        <v>0.48</v>
      </c>
      <c r="E59" s="8" t="n">
        <v>0.43</v>
      </c>
      <c r="F59" s="9" t="n">
        <v>41</v>
      </c>
      <c r="G59" s="9" t="n">
        <v>30</v>
      </c>
      <c r="H59" s="10" t="n">
        <v>0.5200243310546875</v>
      </c>
      <c r="J59" s="11" t="n">
        <v>0</v>
      </c>
      <c r="K59" s="12" t="n">
        <v>0.43</v>
      </c>
      <c r="L59" s="8">
        <f>MAX($H$2-A59,0)</f>
        <v/>
      </c>
      <c r="M59" s="8">
        <f>(L59-K59)*J59*100</f>
        <v/>
      </c>
    </row>
    <row r="60">
      <c r="A60" s="8" t="n">
        <v>125</v>
      </c>
      <c r="B60" s="8" t="n">
        <v>0.36</v>
      </c>
      <c r="C60" s="8" t="n">
        <v>0.48</v>
      </c>
      <c r="D60" s="8" t="n">
        <v>0.39</v>
      </c>
      <c r="E60" s="8" t="n">
        <v>0.42</v>
      </c>
      <c r="F60" s="9" t="n">
        <v>82</v>
      </c>
      <c r="G60" s="9" t="n">
        <v>200</v>
      </c>
      <c r="H60" s="10" t="n">
        <v>0.51562984375</v>
      </c>
      <c r="J60" s="11" t="n">
        <v>0</v>
      </c>
      <c r="K60" s="12" t="n">
        <v>0.42</v>
      </c>
      <c r="L60" s="8">
        <f>MAX($H$2-A60,0)</f>
        <v/>
      </c>
      <c r="M60" s="8">
        <f>(L60-K60)*J60*100</f>
        <v/>
      </c>
    </row>
    <row r="61">
      <c r="A61" s="8" t="n">
        <v>126</v>
      </c>
      <c r="B61" s="8" t="n">
        <v>0.17</v>
      </c>
      <c r="C61" s="8" t="n">
        <v>0.55</v>
      </c>
      <c r="D61" s="8" t="n">
        <v>0.38</v>
      </c>
      <c r="E61" s="8" t="n">
        <v>0.36</v>
      </c>
      <c r="F61" s="9" t="n">
        <v>33</v>
      </c>
      <c r="G61" s="9" t="n">
        <v>2</v>
      </c>
      <c r="H61" s="10" t="n">
        <v>0.543949873046875</v>
      </c>
      <c r="J61" s="11" t="n">
        <v>0</v>
      </c>
      <c r="K61" s="12" t="n">
        <v>0.36</v>
      </c>
      <c r="L61" s="8">
        <f>MAX($H$2-A61,0)</f>
        <v/>
      </c>
      <c r="M61" s="8">
        <f>(L61-K61)*J61*100</f>
        <v/>
      </c>
    </row>
    <row r="62">
      <c r="A62" s="8" t="n">
        <v>127</v>
      </c>
      <c r="B62" s="8" t="n">
        <v>0.09</v>
      </c>
      <c r="C62" s="8" t="n">
        <v>0.37</v>
      </c>
      <c r="D62" s="8" t="n">
        <v>0.36</v>
      </c>
      <c r="E62" s="8" t="n">
        <v>0.23</v>
      </c>
      <c r="F62" s="9" t="n">
        <v>60</v>
      </c>
      <c r="G62" s="9" t="n">
        <v>24</v>
      </c>
      <c r="H62" s="10" t="n">
        <v>0.5283250292968751</v>
      </c>
      <c r="J62" s="11" t="n">
        <v>0</v>
      </c>
      <c r="K62" s="12" t="n">
        <v>0.23</v>
      </c>
      <c r="L62" s="8">
        <f>MAX($H$2-A62,0)</f>
        <v/>
      </c>
      <c r="M62" s="8">
        <f>(L62-K62)*J62*100</f>
        <v/>
      </c>
    </row>
    <row r="63">
      <c r="A63" s="8" t="n">
        <v>128</v>
      </c>
      <c r="B63" s="8" t="n">
        <v>0.05</v>
      </c>
      <c r="C63" s="8" t="n">
        <v>0.75</v>
      </c>
      <c r="D63" s="8" t="n">
        <v>0.26</v>
      </c>
      <c r="E63" s="8" t="n">
        <v>0.4</v>
      </c>
      <c r="F63" s="9" t="n">
        <v>40</v>
      </c>
      <c r="G63" s="9" t="n">
        <v>1619</v>
      </c>
      <c r="H63" s="10" t="n">
        <v>0.6640658593750002</v>
      </c>
      <c r="J63" s="11" t="n">
        <v>0</v>
      </c>
      <c r="K63" s="12" t="n">
        <v>0.4</v>
      </c>
      <c r="L63" s="8">
        <f>MAX($H$2-A63,0)</f>
        <v/>
      </c>
      <c r="M63" s="8">
        <f>(L63-K63)*J63*100</f>
        <v/>
      </c>
    </row>
    <row r="64">
      <c r="A64" s="8" t="n">
        <v>130</v>
      </c>
      <c r="B64" s="8" t="n">
        <v>0</v>
      </c>
      <c r="C64" s="8" t="n">
        <v>0.33</v>
      </c>
      <c r="D64" s="8" t="n">
        <v>0.15</v>
      </c>
      <c r="E64" s="8" t="n">
        <v>0.15</v>
      </c>
      <c r="F64" s="9" t="n">
        <v>1</v>
      </c>
      <c r="G64" s="9" t="n">
        <v>29</v>
      </c>
      <c r="H64" s="10" t="n">
        <v>0.6171913281250001</v>
      </c>
      <c r="J64" s="11" t="n">
        <v>0</v>
      </c>
      <c r="K64" s="12" t="n">
        <v>0.15</v>
      </c>
      <c r="L64" s="8">
        <f>MAX($H$2-A64,0)</f>
        <v/>
      </c>
      <c r="M64" s="8">
        <f>(L64-K64)*J64*100</f>
        <v/>
      </c>
    </row>
    <row r="65">
      <c r="A65" s="8" t="n">
        <v>131</v>
      </c>
      <c r="B65" s="8" t="n">
        <v>0.03</v>
      </c>
      <c r="C65" s="8" t="n">
        <v>0.13</v>
      </c>
      <c r="D65" s="8" t="n">
        <v>0.13</v>
      </c>
      <c r="E65" s="8" t="n">
        <v>0.08</v>
      </c>
      <c r="F65" s="9" t="n">
        <v>57</v>
      </c>
      <c r="G65" s="9" t="n">
        <v>36</v>
      </c>
      <c r="H65" s="10" t="n">
        <v>0.5742230078125</v>
      </c>
      <c r="J65" s="11" t="n">
        <v>0</v>
      </c>
      <c r="K65" s="12" t="n">
        <v>0.08</v>
      </c>
      <c r="L65" s="8">
        <f>MAX($H$2-A65,0)</f>
        <v/>
      </c>
      <c r="M65" s="8">
        <f>(L65-K65)*J65*100</f>
        <v/>
      </c>
    </row>
    <row r="66">
      <c r="A66" s="8" t="n">
        <v>133</v>
      </c>
      <c r="B66" s="8" t="n">
        <v>0</v>
      </c>
      <c r="C66" s="8" t="n">
        <v>0.08</v>
      </c>
      <c r="D66" s="8" t="n">
        <v>0.04</v>
      </c>
      <c r="E66" s="8" t="n">
        <v>0.04</v>
      </c>
      <c r="F66" s="9" t="n">
        <v>9</v>
      </c>
      <c r="G66" s="9" t="n">
        <v>15</v>
      </c>
      <c r="H66" s="10" t="n">
        <v>0.5820354296875</v>
      </c>
      <c r="J66" s="11" t="n">
        <v>0</v>
      </c>
      <c r="K66" s="12" t="n">
        <v>0.04</v>
      </c>
      <c r="L66" s="8">
        <f>MAX($H$2-A66,0)</f>
        <v/>
      </c>
      <c r="M66" s="8">
        <f>(L66-K66)*J66*100</f>
        <v/>
      </c>
    </row>
    <row r="67">
      <c r="A67" s="8" t="n">
        <v>135</v>
      </c>
      <c r="B67" s="8" t="n">
        <v>0</v>
      </c>
      <c r="C67" s="8" t="n">
        <v>0.05</v>
      </c>
      <c r="D67" s="8" t="n">
        <v>0.2</v>
      </c>
      <c r="E67" s="8" t="n">
        <v>0.2</v>
      </c>
      <c r="F67" s="9" t="n">
        <v>1</v>
      </c>
      <c r="G67" s="9" t="n">
        <v>3</v>
      </c>
      <c r="H67" s="10" t="n">
        <v>0.6054726953125001</v>
      </c>
      <c r="J67" s="11" t="n">
        <v>0</v>
      </c>
      <c r="K67" s="12" t="n">
        <v>0.2</v>
      </c>
      <c r="L67" s="8">
        <f>MAX($H$2-A67,0)</f>
        <v/>
      </c>
      <c r="M67" s="8">
        <f>(L67-K67)*J67*100</f>
        <v/>
      </c>
    </row>
  </sheetData>
  <conditionalFormatting sqref="M6:M67">
    <cfRule type="cellIs" priority="1" operator="greaterThan" dxfId="0">
      <formula>0</formula>
    </cfRule>
    <cfRule type="cellIs" priority="2" operator="lessThan" dxfId="1">
      <formula>0</formula>
    </cfRule>
  </conditionalFormatting>
  <conditionalFormatting sqref="M3">
    <cfRule type="cellIs" priority="3" operator="greaterThan" dxfId="0">
      <formula>0</formula>
    </cfRule>
    <cfRule type="cellIs" priority="4" operator="lessThan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2026-01-21T18:45:42Z</dcterms:created>
  <dcterms:modified xsi:type="dcterms:W3CDTF">2026-01-21T18:45:42Z</dcterms:modified>
</cp:coreProperties>
</file>